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b063e3ea695cd788/Desktop/Coventry_Universty/7150CEM - Data Science Project - 2526JANMAY/CourseWorkAssessment/Emailed/Meeting01/"/>
    </mc:Choice>
  </mc:AlternateContent>
  <xr:revisionPtr revIDLastSave="19" documentId="8_{7EA9DC3D-86DA-4120-880A-7BCA02482E8D}" xr6:coauthVersionLast="47" xr6:coauthVersionMax="47" xr10:uidLastSave="{3125DE86-9766-4B1B-911B-75DCF5977ED1}"/>
  <bookViews>
    <workbookView xWindow="-110" yWindow="-110" windowWidth="25820" windowHeight="15500" xr2:uid="{00000000-000D-0000-FFFF-FFFF00000000}"/>
  </bookViews>
  <sheets>
    <sheet name="Literature_Matrix_Analysed" sheetId="1" r:id="rId1"/>
  </sheets>
  <definedNames>
    <definedName name="_xlnm._FilterDatabase" localSheetId="0" hidden="1">Literature_Matrix_Analysed!$B$3:$AJ$39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<sst xmlns="http://schemas.openxmlformats.org/spreadsheetml/2006/main" count="361" uniqueCount="224">
  <si>
    <t>Year</t>
  </si>
  <si>
    <t>Journal</t>
  </si>
  <si>
    <t>Citations</t>
  </si>
  <si>
    <t>Application Domain</t>
  </si>
  <si>
    <t>Data Type</t>
  </si>
  <si>
    <t>Dataset Size</t>
  </si>
  <si>
    <t>Input Features</t>
  </si>
  <si>
    <t>Output Variable</t>
  </si>
  <si>
    <t>Early-Design Usable?</t>
  </si>
  <si>
    <t>Model Type</t>
  </si>
  <si>
    <t>Constraint Enforcement Type</t>
  </si>
  <si>
    <t>Hyperparameter Strategy</t>
  </si>
  <si>
    <t>Explainability Method</t>
  </si>
  <si>
    <t>Post-hoc or Intrinsic?</t>
  </si>
  <si>
    <t>Physical Plausibility Checked?</t>
  </si>
  <si>
    <t>Monotonic Relationships Tested?</t>
  </si>
  <si>
    <t>Engineering Validation?</t>
  </si>
  <si>
    <t>Validation Strategy</t>
  </si>
  <si>
    <t>Robustness Analysis Performed?</t>
  </si>
  <si>
    <t>Domain Shift Tested?</t>
  </si>
  <si>
    <t>Performance Metrics</t>
  </si>
  <si>
    <t>Bibliographic &amp; Context Information</t>
  </si>
  <si>
    <t>Data Characteristics</t>
  </si>
  <si>
    <t>Modelling Approach</t>
  </si>
  <si>
    <t>Explainability &amp; Physical Consistency</t>
  </si>
  <si>
    <t>Limitations (Critical Reading Column)</t>
  </si>
  <si>
    <t>DOI</t>
  </si>
  <si>
    <t>Data Access</t>
  </si>
  <si>
    <t>Public</t>
  </si>
  <si>
    <t>Proprietary</t>
  </si>
  <si>
    <t>Telemeteric Data</t>
  </si>
  <si>
    <t>Matrix_ID</t>
  </si>
  <si>
    <t>Yes</t>
  </si>
  <si>
    <t>No</t>
  </si>
  <si>
    <t>Design / Physical specs</t>
  </si>
  <si>
    <t>Combined_FC</t>
  </si>
  <si>
    <t>CO2</t>
  </si>
  <si>
    <t>Real-world</t>
  </si>
  <si>
    <t>Regulatory</t>
  </si>
  <si>
    <t>Experimental</t>
  </si>
  <si>
    <t>Black-box</t>
  </si>
  <si>
    <t>Bayesian</t>
  </si>
  <si>
    <t>Not specified</t>
  </si>
  <si>
    <t>SHAP</t>
  </si>
  <si>
    <t>None</t>
  </si>
  <si>
    <t>Monotonic</t>
  </si>
  <si>
    <t>Physical equations</t>
  </si>
  <si>
    <t>Hybrid loss</t>
  </si>
  <si>
    <t>Post-hoc</t>
  </si>
  <si>
    <t>Intrinsic</t>
  </si>
  <si>
    <t>Model Robustness &amp; Evaluation</t>
  </si>
  <si>
    <t>Train-test</t>
  </si>
  <si>
    <t>Perturbation</t>
  </si>
  <si>
    <t>Noise</t>
  </si>
  <si>
    <t>Explicit</t>
  </si>
  <si>
    <t>Implied</t>
  </si>
  <si>
    <t>Generalisation Claims?</t>
  </si>
  <si>
    <t>Multiple (RMSE / MAE / R²)</t>
  </si>
  <si>
    <t>My Critical Observations (Identified Gap)</t>
  </si>
  <si>
    <t>Gap Category</t>
  </si>
  <si>
    <t>Medium</t>
  </si>
  <si>
    <t>High</t>
  </si>
  <si>
    <t>Gap - scope Alignment Level</t>
  </si>
  <si>
    <t>paper1</t>
  </si>
  <si>
    <t>paper2</t>
  </si>
  <si>
    <t>paper3</t>
  </si>
  <si>
    <t>paper4</t>
  </si>
  <si>
    <t>paper5</t>
  </si>
  <si>
    <t>paper6</t>
  </si>
  <si>
    <t>paper7</t>
  </si>
  <si>
    <t>paper8</t>
  </si>
  <si>
    <t>paper9</t>
  </si>
  <si>
    <t>paper10</t>
  </si>
  <si>
    <t>paper11</t>
  </si>
  <si>
    <t>paper12</t>
  </si>
  <si>
    <t>paper13</t>
  </si>
  <si>
    <t>paper14</t>
  </si>
  <si>
    <t>paper15</t>
  </si>
  <si>
    <t>paper16</t>
  </si>
  <si>
    <t>paper17</t>
  </si>
  <si>
    <t>paper18</t>
  </si>
  <si>
    <t>paper19</t>
  </si>
  <si>
    <t>paper20</t>
  </si>
  <si>
    <t>paper21</t>
  </si>
  <si>
    <t>Physics-based analytical</t>
  </si>
  <si>
    <t>Hybrid but weakly constrained</t>
  </si>
  <si>
    <t>Explainable but not physically grounded</t>
  </si>
  <si>
    <t>Environmental modelling</t>
  </si>
  <si>
    <t>Emission prediction</t>
  </si>
  <si>
    <t>Approach Cluster</t>
  </si>
  <si>
    <t>Title</t>
  </si>
  <si>
    <t>Interpretable Deep Learning for Fuel Usage Forecasting in Vehicles: A Time-Series Transformer and Alibi-Based Approach</t>
  </si>
  <si>
    <t>2025 International Conference on Emerging Trends in Networks and Computer Communications (ETNCC)</t>
  </si>
  <si>
    <t>10.1109/ETNCC66224.2025.11299764</t>
  </si>
  <si>
    <t>Singh, B., &amp; Sharma, D. K. (2025). Interpretable Deep Learning for Fuel Usage Forecasting in Vehicles: A Time-Series Transformer and Alibi-Based Approach. 2025 International Conference on Emerging Trends in Networks and Computer Communications (ETNCC). https://doi.org/10.1109/ETNCC66224.2025.11299764</t>
  </si>
  <si>
    <t>Key Findings</t>
  </si>
  <si>
    <t>Vehicle fuel consumption</t>
  </si>
  <si>
    <t>Input Features Category</t>
  </si>
  <si>
    <t>Speed, acceleration, MAF, RPM, Load, elevation, grade, speed limits (8 features used)</t>
  </si>
  <si>
    <t>Instantaneous fuel consumption</t>
  </si>
  <si>
    <t>Instantaneous_FC</t>
  </si>
  <si>
    <t>Transformer Encoder (regression)</t>
  </si>
  <si>
    <t>Physics-Motivated Feature Engineering</t>
  </si>
  <si>
    <t>Manual tuning</t>
  </si>
  <si>
    <t>Alibi (LIME-based local explanations)</t>
  </si>
  <si>
    <t>Interpretability + Constraint + Robustness + Methodological</t>
  </si>
  <si>
    <t>Machine learning vehicle fuel efficiency prediction</t>
  </si>
  <si>
    <t>10.1038/s41598-025-96999-0</t>
  </si>
  <si>
    <t>Scientific Reports</t>
  </si>
  <si>
    <t>Yoo, S.-R., Shin, J.-W., &amp; Choi, S.-H. (2025). Machine learning vehicle fuel efficiency prediction. Scientific Reports. https://doi.org/10.1038/s41598-025-96999-0</t>
  </si>
  <si>
    <t>953 vehicles (after integration &amp; cleaning)</t>
  </si>
  <si>
    <t>300 vehicles</t>
  </si>
  <si>
    <r>
      <t xml:space="preserve">Manufacturer/importer, vehicle type, car type, fuel type, transmission type, </t>
    </r>
    <r>
      <rPr>
        <b/>
        <u/>
        <sz val="11"/>
        <color theme="1"/>
        <rFont val="Calibri"/>
        <family val="2"/>
        <scheme val="minor"/>
      </rPr>
      <t>combined mode CO₂</t>
    </r>
    <r>
      <rPr>
        <sz val="11"/>
        <color theme="1"/>
        <rFont val="Calibri"/>
        <family val="2"/>
        <scheme val="minor"/>
      </rPr>
      <t>, grade, inch (tire size), gas displacement, RRC</t>
    </r>
  </si>
  <si>
    <t>Public + manual data collection</t>
  </si>
  <si>
    <t>Linear Regression, Extra Trees, Random Forest, Gradient Boosting, Hist GB, AdaBoost</t>
  </si>
  <si>
    <t>Minimal - RRC formula given (Eq.1), but no derived physics-based interactions embedded in model objective</t>
  </si>
  <si>
    <t>SHAP, LIME, Odds Ratio, Correlation Analysis</t>
  </si>
  <si>
    <t>60/20/20 split + k-fold cross-validation</t>
  </si>
  <si>
    <t>Sensitivity (limited, tested multicollinearity removal &amp; brand subgroup comparison)</t>
  </si>
  <si>
    <r>
      <t xml:space="preserve">Paper Weakness:
</t>
    </r>
    <r>
      <rPr>
        <b/>
        <u/>
        <sz val="11"/>
        <color theme="1"/>
        <rFont val="Calibri"/>
        <family val="2"/>
        <scheme val="minor"/>
      </rPr>
      <t>Constraint:</t>
    </r>
    <r>
      <rPr>
        <sz val="11"/>
        <color theme="1"/>
        <rFont val="Calibri"/>
        <family val="2"/>
        <scheme val="minor"/>
      </rPr>
      <t xml:space="preserve">
No physical constraints in training or testing
</t>
    </r>
    <r>
      <rPr>
        <b/>
        <u/>
        <sz val="11"/>
        <color theme="1"/>
        <rFont val="Calibri"/>
        <family val="2"/>
        <scheme val="minor"/>
      </rPr>
      <t>Interpretability:</t>
    </r>
    <r>
      <rPr>
        <sz val="11"/>
        <color theme="1"/>
        <rFont val="Calibri"/>
        <family val="2"/>
        <scheme val="minor"/>
      </rPr>
      <t xml:space="preserve">
Post-hoc explainability only (no intrinsic interpretability)
</t>
    </r>
    <r>
      <rPr>
        <b/>
        <u/>
        <sz val="11"/>
        <color theme="1"/>
        <rFont val="Calibri"/>
        <family val="2"/>
        <scheme val="minor"/>
      </rPr>
      <t>Methodological:</t>
    </r>
    <r>
      <rPr>
        <sz val="11"/>
        <color theme="1"/>
        <rFont val="Calibri"/>
        <family val="2"/>
        <scheme val="minor"/>
      </rPr>
      <t xml:space="preserve">
Not early-design usable (depends on telemetry/operational data)
Limited Baseline Comparisons (Only compared against LSTM and GRU; no comparison with other interpretable ML methods or traditional approaches)
Computational and Deployment Considerations Not Evaluated (Computational efficiency and deployment feasibility are not evaluated, constraining assessment of practical applicability in real-time fleet systems.)
</t>
    </r>
    <r>
      <rPr>
        <b/>
        <u/>
        <sz val="11"/>
        <color theme="1"/>
        <rFont val="Calibri"/>
        <family val="2"/>
        <scheme val="minor"/>
      </rPr>
      <t>Robustness:</t>
    </r>
    <r>
      <rPr>
        <sz val="11"/>
        <color theme="1"/>
        <rFont val="Calibri"/>
        <family val="2"/>
        <scheme val="minor"/>
      </rPr>
      <t xml:space="preserve">
Lack of Robustness and Domain Shift Evaluation (Evaluation is limited to a single dataset (eVED) without cross-region, cross-vehicle, or distribution-shift testing)</t>
    </r>
  </si>
  <si>
    <t>CatBoost-based fuel consumption modeling and explainable analysis for heavy-duty diesel trucks: Impact of engine, driving behavior, and vehicle weight</t>
  </si>
  <si>
    <t>Liu, A., Fan, P., He, X., Lu, H., Yu, L., &amp; Song, G. (2025). CatBoost-based fuel consumption modeling and explainable analysis for heavy-duty diesel trucks: Impact of engine, driving behavior, and vehicle weight. Energy, 137485.</t>
  </si>
  <si>
    <t>https://doi.org/10.1016/j.energy.2025.137485</t>
  </si>
  <si>
    <t>Energy</t>
  </si>
  <si>
    <t>7,311 trucks; 49,714 trips; 103,647,628 seconds (~28,791 hours); segmented into 458,437 trip-level segments</t>
  </si>
  <si>
    <t>Engine parameters; Driving behavior; Vehicle weight
avg_output_torque, avg_engine_speed, avg_friction_torque, avg_speed, speed_std, accel_ratio, decel_ratio, load_rate (after VIF filtering)</t>
  </si>
  <si>
    <t>CatBoost Gradient Boosting Trees</t>
  </si>
  <si>
    <t>Limited - some implicit physics reasoning (e.g., torque, speed, load, aerodynamic interpretation), but no explicit physical equations embedded in model</t>
  </si>
  <si>
    <t>10-fold CV × 10 repetitions</t>
  </si>
  <si>
    <t>Partial qualitative engineering interpretation (e.g., economic engine speed ranges), but no physical validation model</t>
  </si>
  <si>
    <t>Qualitatively interpreted via SHAP plots (e.g., positive torque - fuel relation), but not formally verified</t>
  </si>
  <si>
    <t>Yes  -  feature-availability ablation study (6 feature combinations)</t>
  </si>
  <si>
    <r>
      <rPr>
        <b/>
        <u/>
        <sz val="11"/>
        <color theme="1"/>
        <rFont val="Calibri"/>
        <family val="2"/>
        <scheme val="minor"/>
      </rPr>
      <t xml:space="preserve">Paper Weakness:
Constraint:
</t>
    </r>
    <r>
      <rPr>
        <sz val="11"/>
        <color theme="1"/>
        <rFont val="Calibri"/>
        <family val="2"/>
        <scheme val="minor"/>
      </rPr>
      <t xml:space="preserve">No physical constraints in training or testing
RRC is included as a feature, but not physically constrained
</t>
    </r>
    <r>
      <rPr>
        <b/>
        <u/>
        <sz val="11"/>
        <color theme="1"/>
        <rFont val="Calibri"/>
        <family val="2"/>
        <scheme val="minor"/>
      </rPr>
      <t>Interpretability:</t>
    </r>
    <r>
      <rPr>
        <sz val="11"/>
        <color theme="1"/>
        <rFont val="Calibri"/>
        <family val="2"/>
        <scheme val="minor"/>
      </rPr>
      <t xml:space="preserve">
Post-hoc explainability only (i.e. not intrinsically interpretable: the final selected model is not intrinsically interpretable)
</t>
    </r>
    <r>
      <rPr>
        <b/>
        <u/>
        <sz val="11"/>
        <color theme="1"/>
        <rFont val="Calibri"/>
        <family val="2"/>
        <scheme val="minor"/>
      </rPr>
      <t xml:space="preserve">Robustness:
</t>
    </r>
    <r>
      <rPr>
        <sz val="11"/>
        <color theme="1"/>
        <rFont val="Calibri"/>
        <family val="2"/>
        <scheme val="minor"/>
      </rPr>
      <t xml:space="preserve">Limited categorical diversity within the dataset used in the modelling for training, validation, and testing  (953 vehicles (after integration &amp; cleaning) has the following flaws:
Strong manufacturer bias (Hyundai≈60%/Kia≈35% dominance)
Single country (Korea)
Single regulatory standard (No cross-cycle (WLTP vs EPA vs NEDC) robustness tested)
Highly skewed transmission distribution (≈74% automatic 8)
Limited vehicle category diversity (car 96% vs Van 3%).
The categorical imbalance increases the risk of manufacturer/transmission/category-specific overfitting and limits cross-category generalisability
</t>
    </r>
    <r>
      <rPr>
        <b/>
        <u/>
        <sz val="11"/>
        <color theme="1"/>
        <rFont val="Calibri"/>
        <family val="2"/>
        <scheme val="minor"/>
      </rPr>
      <t>Methodological:</t>
    </r>
    <r>
      <rPr>
        <sz val="11"/>
        <color theme="1"/>
        <rFont val="Calibri"/>
        <family val="2"/>
        <scheme val="minor"/>
      </rPr>
      <t xml:space="preserve">
Inclusion of combined CO₂ emissions (mechanically linked to fuel efficiency) introduces strong target-proxy &amp; performance inflation risk</t>
    </r>
  </si>
  <si>
    <r>
      <rPr>
        <b/>
        <u/>
        <sz val="11"/>
        <color theme="1"/>
        <rFont val="Calibri"/>
        <family val="2"/>
        <scheme val="minor"/>
      </rPr>
      <t xml:space="preserve">Paper Weakness:
Constraint:
</t>
    </r>
    <r>
      <rPr>
        <sz val="11"/>
        <color theme="1"/>
        <rFont val="Calibri"/>
        <family val="2"/>
        <scheme val="minor"/>
      </rPr>
      <t xml:space="preserve">The model is purely data-driven (CatBoost), with no physical constraints in training or testing
</t>
    </r>
    <r>
      <rPr>
        <b/>
        <u/>
        <sz val="11"/>
        <color theme="1"/>
        <rFont val="Calibri"/>
        <family val="2"/>
        <scheme val="minor"/>
      </rPr>
      <t>Interpretability:</t>
    </r>
    <r>
      <rPr>
        <sz val="11"/>
        <color theme="1"/>
        <rFont val="Calibri"/>
        <family val="2"/>
        <scheme val="minor"/>
      </rPr>
      <t xml:space="preserve">
Post-hoc explainability only, while the model itself has an unexplainable structure (black-box).
</t>
    </r>
    <r>
      <rPr>
        <b/>
        <u/>
        <sz val="11"/>
        <color theme="1"/>
        <rFont val="Calibri"/>
        <family val="2"/>
        <scheme val="minor"/>
      </rPr>
      <t>Robustness:</t>
    </r>
    <r>
      <rPr>
        <sz val="11"/>
        <color theme="1"/>
        <rFont val="Calibri"/>
        <family val="2"/>
        <scheme val="minor"/>
      </rPr>
      <t xml:space="preserve">
The dataset used for training and testing in this study is limited to similar truck classes (diesel classes), data collected from a single province (Shandong).
</t>
    </r>
    <r>
      <rPr>
        <b/>
        <u/>
        <sz val="11"/>
        <color theme="1"/>
        <rFont val="Calibri"/>
        <family val="2"/>
        <scheme val="minor"/>
      </rPr>
      <t>Methodological:</t>
    </r>
    <r>
      <rPr>
        <sz val="11"/>
        <color theme="1"/>
        <rFont val="Calibri"/>
        <family val="2"/>
        <scheme val="minor"/>
      </rPr>
      <t xml:space="preserve">
Not early-design usable (depends on telemetry/operational data)</t>
    </r>
  </si>
  <si>
    <t>DLLT: A dual-layer LSTM-transformer model for real-time energy and dynamics prediction in plug-in hybrid electric vehicles.</t>
  </si>
  <si>
    <t>10.1371/journal.pone.0335542</t>
  </si>
  <si>
    <t>Zhang, X., Chen, Z., &amp; Fang, X. (2025). DLLT: A dual-layer LSTM-transformer model for real-time energy and dynamics prediction in plug-in hybrid electric vehicles. PLoS One, 20(11), 26. https://doi.org/10.1371/journal.pone.0335542</t>
  </si>
  <si>
    <t>PLoS One</t>
  </si>
  <si>
    <t>Accuracy-focused black-box ML/DL</t>
  </si>
  <si>
    <t>2,415,000 data points (24,150 seconds)</t>
  </si>
  <si>
    <t>(Driver behavior + Vehicle state) Accelerator pedal, Brake pedal, Velocity, Battery SOC</t>
  </si>
  <si>
    <t>Dual-layer LSTM (mode classification) + Transformer (regression)</t>
  </si>
  <si>
    <t>Partially (validated on chassis dynamometer; single Honda Accord PHEV platform)</t>
  </si>
  <si>
    <t>Metaheuristic (Northern Goshawk Optimization (NGO))</t>
  </si>
  <si>
    <t>Train-test (Train on JC08/HWY/UDDS; Test on NEDC cycles)</t>
  </si>
  <si>
    <r>
      <rPr>
        <b/>
        <u/>
        <sz val="11"/>
        <color theme="1"/>
        <rFont val="Calibri"/>
        <family val="2"/>
        <scheme val="minor"/>
      </rPr>
      <t xml:space="preserve">Paper Weakness:
Constraint:
</t>
    </r>
    <r>
      <rPr>
        <sz val="11"/>
        <color theme="1"/>
        <rFont val="Calibri"/>
        <family val="2"/>
        <scheme val="minor"/>
      </rPr>
      <t xml:space="preserve">The model is purely data-driven (LSTM, GRU, CBA (CNN+BiLSTM+Attention), Transformer), with no physical constraints in training or testing
</t>
    </r>
    <r>
      <rPr>
        <b/>
        <u/>
        <sz val="11"/>
        <color theme="1"/>
        <rFont val="Calibri"/>
        <family val="2"/>
        <scheme val="minor"/>
      </rPr>
      <t xml:space="preserve">Interpretability:
</t>
    </r>
    <r>
      <rPr>
        <sz val="11"/>
        <color theme="1"/>
        <rFont val="Calibri"/>
        <family val="2"/>
        <scheme val="minor"/>
      </rPr>
      <t xml:space="preserve">No SHAP, no feature attribution analysis
While Transformer attention is mentioned, the paper does not provide attention visualisations, feature importance plots, or interpretable analysis. Therefore, it remains a black-box architecture.
</t>
    </r>
    <r>
      <rPr>
        <b/>
        <u/>
        <sz val="11"/>
        <color theme="1"/>
        <rFont val="Calibri"/>
        <family val="2"/>
        <scheme val="minor"/>
      </rPr>
      <t>Robustness:</t>
    </r>
    <r>
      <rPr>
        <sz val="11"/>
        <color theme="1"/>
        <rFont val="Calibri"/>
        <family val="2"/>
        <scheme val="minor"/>
      </rPr>
      <t xml:space="preserve">
The dataset used in this papaer include Single vehicle model (Honda Accord PHEV), a single lab-controlled environment. 
</t>
    </r>
    <r>
      <rPr>
        <b/>
        <u/>
        <sz val="11"/>
        <color theme="1"/>
        <rFont val="Calibri"/>
        <family val="2"/>
        <scheme val="minor"/>
      </rPr>
      <t>Methodological:</t>
    </r>
    <r>
      <rPr>
        <sz val="11"/>
        <color theme="1"/>
        <rFont val="Calibri"/>
        <family val="2"/>
        <scheme val="minor"/>
      </rPr>
      <t xml:space="preserve">
Not early-design usable (depends on telemetry/operational data)</t>
    </r>
  </si>
  <si>
    <t>Deep learning model based prediction of vehicle CO2 emissions with eXplainable AI integration for sustainable environment.</t>
  </si>
  <si>
    <t>10.1038/s41598-025-87233-y</t>
  </si>
  <si>
    <t>Gmi, A., S, A. T., Sk, S., Y, W., R, I., Mf, M., &amp; K, N. (2025). Deep learning model based prediction of vehicle CO2emissions with eXplainable AI integration for sustainable environment. https://doi.org/10.1038/s41598-025-87233-y</t>
  </si>
  <si>
    <t>paper22</t>
  </si>
  <si>
    <t>paper23</t>
  </si>
  <si>
    <t>7,385 rows × 12 features (7 years Canadian data)</t>
  </si>
  <si>
    <t>Vehicle specifications + fuel consumption metrics
Make, Model, Vehicle Class, Engine Size (L), Cylinders, Transmission, Fuel Type, Fuel Consumption (City, Hwy, Combined)</t>
  </si>
  <si>
    <t>Multilayer Perceptron (MLP, 3 hidden layers: 128-64-32)</t>
  </si>
  <si>
    <t>Manual tuning + 5-fold cross-validation; Adam optimizer; 100 epochs; batch size=8</t>
  </si>
  <si>
    <t xml:space="preserve"> 5-fold cross-validation</t>
  </si>
  <si>
    <t>The same dataset is used</t>
  </si>
  <si>
    <r>
      <rPr>
        <b/>
        <u/>
        <sz val="11"/>
        <color theme="1"/>
        <rFont val="Calibri"/>
        <family val="2"/>
        <scheme val="minor"/>
      </rPr>
      <t xml:space="preserve">Paper Weakness:
Constraint:
</t>
    </r>
    <r>
      <rPr>
        <sz val="11"/>
        <color theme="1"/>
        <rFont val="Calibri"/>
        <family val="2"/>
        <scheme val="minor"/>
      </rPr>
      <t xml:space="preserve">The model is purely data-driven (MLP), with no physical constraints in training or testing
</t>
    </r>
    <r>
      <rPr>
        <b/>
        <u/>
        <sz val="11"/>
        <color theme="1"/>
        <rFont val="Calibri"/>
        <family val="2"/>
        <scheme val="minor"/>
      </rPr>
      <t xml:space="preserve">Interpretability:
</t>
    </r>
    <r>
      <rPr>
        <sz val="11"/>
        <color theme="1"/>
        <rFont val="Calibri"/>
        <family val="2"/>
        <scheme val="minor"/>
      </rPr>
      <t xml:space="preserve">Post-hoc explainability only, while the model itself has an unexplainable structure (black-box). The strong linear correlations observed between fuel consumption metrics and CO2 emissions, simpler interpretable models (e.g., linear regression) may have been sufficient
</t>
    </r>
    <r>
      <rPr>
        <b/>
        <u/>
        <sz val="11"/>
        <color theme="1"/>
        <rFont val="Calibri"/>
        <family val="2"/>
        <scheme val="minor"/>
      </rPr>
      <t>Robustness:</t>
    </r>
    <r>
      <rPr>
        <sz val="11"/>
        <color theme="1"/>
        <rFont val="Calibri"/>
        <family val="2"/>
        <scheme val="minor"/>
      </rPr>
      <t xml:space="preserve">
There were no cross-year/manufacturer/country testing to demonstrate model robustness or generalisability
</t>
    </r>
    <r>
      <rPr>
        <b/>
        <u/>
        <sz val="11"/>
        <color theme="1"/>
        <rFont val="Calibri"/>
        <family val="2"/>
        <scheme val="minor"/>
      </rPr>
      <t>Methodological:</t>
    </r>
    <r>
      <rPr>
        <sz val="11"/>
        <color theme="1"/>
        <rFont val="Calibri"/>
        <family val="2"/>
        <scheme val="minor"/>
      </rPr>
      <t xml:space="preserve">
Not early-design usable (depends on Fuel Consumption), The inclusion of (Fuel Consumption City, Fuel Consumption Highway, Fuel Consumption Combined, which are all highly correlated features to each other) and each fuel consumption metric are almost mechanically linked to CO₂ emissions, which introduces strong target-proxy &amp; performance inflation risk (i.e. target leakage risk)</t>
    </r>
  </si>
  <si>
    <t>Physics-Aware Machine Learning for Geosciences and Remote Sensing</t>
  </si>
  <si>
    <t>2021 IEEE International Geoscience and Remote Sensing Symposium IGARSS</t>
  </si>
  <si>
    <t>10.1109/IGARSS47720.2021.9554521</t>
  </si>
  <si>
    <t>Camps-Valls, G., Svendsen, D., Corts-Andrs, J., Mareno-Martnez, L., Prez-Suay, A., Adsuara, J., Martn, I., Piles, M., Muoz-Mar, J., &amp; Martino, L. (2021). Physics-Aware Machine Learning for Geosciences and Remote Sensing. 2021 IEEE International Geoscience and Remote Sensing Symposium IGARSS. https://doi.org/10.1109/IGARSS47720.2021.9554521</t>
  </si>
  <si>
    <t>N/A</t>
  </si>
  <si>
    <t>Gaussian Processes (GP)
Kernel Ridge Regression (KRR)
Fair Kernel Learning (HSIC-constrained)
Latent Force Models (GP + ODE)
Variational inference frameworks</t>
  </si>
  <si>
    <t>likelihood maximisation &amp; Regularization weighting parameters</t>
  </si>
  <si>
    <t>Model-based interpretability via physics encoding</t>
  </si>
  <si>
    <t xml:space="preserve">The same methodology applied </t>
  </si>
  <si>
    <t>AI-driven Physics Informed Neural Network for Daily Temperature Forecasting with Constraint Aware Learning and Explainable Feature Attribution</t>
  </si>
  <si>
    <t>10.21015/vtse.v13i4.2231</t>
  </si>
  <si>
    <t>Inam, S. A., Hashim, H., Ashraf, S. N., Naim, S. W., Rajput, H., &amp; Umer, S. (2025). AI-driven Physics Informed Neural Network for Daily Temperature Forecasting with Constraint Aware Learning and Explainable Feature Attribution. VFAST Transactions on Software Engineering. https://doi.org/10.21015/vtse.v13i4.2231</t>
  </si>
  <si>
    <t>VFAST Transactions on Software Engineering</t>
  </si>
  <si>
    <t>Methodological + Constraint + Robustness</t>
  </si>
  <si>
    <t>Methodological + Robustness</t>
  </si>
  <si>
    <r>
      <rPr>
        <b/>
        <u/>
        <sz val="11"/>
        <color theme="1"/>
        <rFont val="Calibri"/>
        <family val="2"/>
        <scheme val="minor"/>
      </rPr>
      <t>Paper Weakness:
Constraint:</t>
    </r>
    <r>
      <rPr>
        <sz val="11"/>
        <color theme="1"/>
        <rFont val="Calibri"/>
        <family val="2"/>
        <scheme val="minor"/>
      </rPr>
      <t xml:space="preserve">
All constraints are soft regularizers, not hard monotonic guarantees which fail to respect fundamental physical laws (mass/energy conservation), undermining their reliability and trustworthiness.
</t>
    </r>
    <r>
      <rPr>
        <b/>
        <u/>
        <sz val="11"/>
        <color theme="1"/>
        <rFont val="Calibri"/>
        <family val="2"/>
        <scheme val="minor"/>
      </rPr>
      <t>Robustness:</t>
    </r>
    <r>
      <rPr>
        <sz val="11"/>
        <color theme="1"/>
        <rFont val="Calibri"/>
        <family val="2"/>
        <scheme val="minor"/>
      </rPr>
      <t xml:space="preserve">
There were no cross-region/country testing to demonstrate model robustness or generalisability
</t>
    </r>
    <r>
      <rPr>
        <b/>
        <u/>
        <sz val="11"/>
        <color theme="1"/>
        <rFont val="Calibri"/>
        <family val="2"/>
        <scheme val="minor"/>
      </rPr>
      <t>Methodological:</t>
    </r>
    <r>
      <rPr>
        <sz val="11"/>
        <color theme="1"/>
        <rFont val="Calibri"/>
        <family val="2"/>
        <scheme val="minor"/>
      </rPr>
      <t xml:space="preserve">
 The work focuses on Earth system applications and is not applied to automotive / fuel consumption.
</t>
    </r>
  </si>
  <si>
    <t>Small datasets: Badin (285 records), Dadu (199), Rohri (255)</t>
  </si>
  <si>
    <t>Meteorological + Physics-engineered features
Max/Min temperature, humidity (midnight/noon), wind speed (midnight/noon), rainfall, cyclic year encoding, diurnal ranges, wind-humidity ratio, cumulative rainfall, interaction terms</t>
  </si>
  <si>
    <t>Fully Connected Neural Network (PINN)</t>
  </si>
  <si>
    <t>Fixed manually (Adam, lr=0.01, 500 epochs, λ=0.1) / no systematic tuning reported</t>
  </si>
  <si>
    <t>SHAP, LIME</t>
  </si>
  <si>
    <t>Yes - thermal equilibrium constraint included</t>
  </si>
  <si>
    <t>5-fold cross-validation + parity plots</t>
  </si>
  <si>
    <r>
      <t xml:space="preserve">Paper Weakness:
Constraint:
</t>
    </r>
    <r>
      <rPr>
        <sz val="11"/>
        <color theme="1"/>
        <rFont val="Calibri"/>
        <family val="2"/>
        <scheme val="minor"/>
      </rPr>
      <t>All constraints are soft regularizers (encouraged but not enforced), not hard enforced</t>
    </r>
    <r>
      <rPr>
        <b/>
        <u/>
        <sz val="11"/>
        <color theme="1"/>
        <rFont val="Calibri"/>
        <family val="2"/>
        <scheme val="minor"/>
      </rPr>
      <t xml:space="preserve">
Interpretability:
</t>
    </r>
    <r>
      <rPr>
        <sz val="11"/>
        <color theme="1"/>
        <rFont val="Calibri"/>
        <family val="2"/>
        <scheme val="minor"/>
      </rPr>
      <t>Post-hoc explainability only, while the model itself has an unexplainable structure (black-box). T</t>
    </r>
    <r>
      <rPr>
        <b/>
        <u/>
        <sz val="11"/>
        <color theme="1"/>
        <rFont val="Calibri"/>
        <family val="2"/>
        <scheme val="minor"/>
      </rPr>
      <t xml:space="preserve">
Robustness:
</t>
    </r>
    <r>
      <rPr>
        <sz val="11"/>
        <color theme="1"/>
        <rFont val="Calibri"/>
        <family val="2"/>
        <scheme val="minor"/>
      </rPr>
      <t>The model relied on a limited local dataset of fewer than 300 samples. There were no cross-region/cross-country/cross-climate/temporal testing to demonstrate model robustness or generalisability</t>
    </r>
    <r>
      <rPr>
        <b/>
        <u/>
        <sz val="11"/>
        <color theme="1"/>
        <rFont val="Calibri"/>
        <family val="2"/>
        <scheme val="minor"/>
      </rPr>
      <t xml:space="preserve">
Methodological:
</t>
    </r>
    <r>
      <rPr>
        <sz val="11"/>
        <color theme="1"/>
        <rFont val="Calibri"/>
        <family val="2"/>
        <scheme val="minor"/>
      </rPr>
      <t xml:space="preserve">
The work focuses on Climate/weather studies and is not applied to automotive / fuel consumption.
</t>
    </r>
  </si>
  <si>
    <t>Noise-aware physics-informed machine learning for robust PDE discovery</t>
  </si>
  <si>
    <t>10.1088/2632-2153/acb1f0</t>
  </si>
  <si>
    <t>Thanasutives, P., Morita, T., Numao, M., &amp; Fukui, K. (2022). Noise-aware physics-informed machine learning for robust PDE discovery. Machine Learning: Science and Technology. https://doi.org/10.1088/2632-2153/acb1f0</t>
  </si>
  <si>
    <t>Machine Learning: Science and Technology</t>
  </si>
  <si>
    <t>Machine learning (Methodology)</t>
  </si>
  <si>
    <t>Dicovering Partial Derivative Equations (PDE) &amp; Coefficients of PDE</t>
  </si>
  <si>
    <t>Physics Informed Neural network + sparse regression</t>
  </si>
  <si>
    <t>Recovered PDEs compared to ground-truth equations.</t>
  </si>
  <si>
    <t>Train-test (noise-level sensitivity experiments)</t>
  </si>
  <si>
    <r>
      <rPr>
        <b/>
        <u/>
        <sz val="11"/>
        <color theme="1"/>
        <rFont val="Calibri"/>
        <family val="2"/>
        <scheme val="minor"/>
      </rPr>
      <t>Methodological Gap:</t>
    </r>
    <r>
      <rPr>
        <sz val="11"/>
        <color theme="1"/>
        <rFont val="Calibri"/>
        <family val="2"/>
        <scheme val="minor"/>
      </rPr>
      <t xml:space="preserve">
This paper provide theoritical ground for physics enforcement with ML workflows, but focuses exclusively on PDE discovery rather than predictive modeling
</t>
    </r>
    <r>
      <rPr>
        <b/>
        <u/>
        <sz val="11"/>
        <color theme="1"/>
        <rFont val="Calibri"/>
        <family val="2"/>
        <scheme val="minor"/>
      </rPr>
      <t>Robustness:</t>
    </r>
    <r>
      <rPr>
        <sz val="11"/>
        <color theme="1"/>
        <rFont val="Calibri"/>
        <family val="2"/>
        <scheme val="minor"/>
      </rPr>
      <t xml:space="preserve">
Despite Strong noise robustness checks, no cross-domain checks were introduced.
</t>
    </r>
  </si>
  <si>
    <t>paper24</t>
  </si>
  <si>
    <t>paper25</t>
  </si>
  <si>
    <t>paper26</t>
  </si>
  <si>
    <t>paper27</t>
  </si>
  <si>
    <t>paper28</t>
  </si>
  <si>
    <t>paper29</t>
  </si>
  <si>
    <t>paper30</t>
  </si>
  <si>
    <t>paper31</t>
  </si>
  <si>
    <t>paper32</t>
  </si>
  <si>
    <t>paper33</t>
  </si>
  <si>
    <t>paper34</t>
  </si>
  <si>
    <t>paper35</t>
  </si>
  <si>
    <t>paper36</t>
  </si>
  <si>
    <t>Interpretable machine learning models for predicting and explaining vehicle fuel consumption anomalies</t>
  </si>
  <si>
    <t>https://doi.org/10.1016/j.engappai.2022.105222</t>
  </si>
  <si>
    <t>Barbado, A., &amp; Corcho, Ó. (2022). Interpretable machine learning models for predicting and explaining vehicle fuel consumption anomalies. Engineering Applications of Artificial Intelligence, 115, 105222. https://doi.org/10.1016/j.engappai.2022.105222</t>
  </si>
  <si>
    <t>Engineering Applications of Artificial Intelligence</t>
  </si>
  <si>
    <t>9 fleet datasets
Largest fleet (D1): 219,707 vehicle-date records
Smallest fleet: 300 records</t>
  </si>
  <si>
    <t>Driving behaviour + Vehicle parameters + Environmental variables + Categorical vehicle group &amp; route type
RPM bands, harsh braking events, speed events, idle time, tyre pressure, temperature, trip distance, rain duration, etc.</t>
  </si>
  <si>
    <t>Explainable Boosting Machine (EBM)
EBM variation (EBM_var)
CGA2M+ (monotonic GAM)</t>
  </si>
  <si>
    <t>90/10 train-test split</t>
  </si>
  <si>
    <t>Tested across 9 fleets &amp; compared large, medium, small fleets</t>
  </si>
  <si>
    <r>
      <rPr>
        <b/>
        <u/>
        <sz val="11"/>
        <rFont val="Calibri"/>
        <family val="2"/>
        <scheme val="minor"/>
      </rPr>
      <t xml:space="preserve">Paper Weakness:
Constraint:
</t>
    </r>
    <r>
      <rPr>
        <sz val="11"/>
        <rFont val="Calibri"/>
        <family val="2"/>
        <scheme val="minor"/>
      </rPr>
      <t xml:space="preserve">no physics-based constraints (e.g., energy balance, thermodynamic relationships).
</t>
    </r>
    <r>
      <rPr>
        <b/>
        <u/>
        <sz val="11"/>
        <rFont val="Calibri"/>
        <family val="2"/>
        <scheme val="minor"/>
      </rPr>
      <t>Robustness:</t>
    </r>
    <r>
      <rPr>
        <sz val="11"/>
        <rFont val="Calibri"/>
        <family val="2"/>
        <scheme val="minor"/>
      </rPr>
      <t xml:space="preserve">
There were no cross-region/regulatory tests to demonstrate model robustness or generalisability
</t>
    </r>
    <r>
      <rPr>
        <b/>
        <u/>
        <sz val="11"/>
        <rFont val="Calibri"/>
        <family val="2"/>
        <scheme val="minor"/>
      </rPr>
      <t>Methodological:</t>
    </r>
    <r>
      <rPr>
        <sz val="11"/>
        <rFont val="Calibri"/>
        <family val="2"/>
        <scheme val="minor"/>
      </rPr>
      <t xml:space="preserve">
The work focuses on explaining fuel consumption anomaly rather than predicting fuel consumption.
It relies on telemetric operational data </t>
    </r>
  </si>
  <si>
    <t>The Time-Series Transformer Encoder outperforms traditional deep learning models (LSTM and GRU) in fuel consumption forecasting accuracy.
Using the Alibi &gt;&gt;LIME Based technique&lt;&lt; library successfully provides explainable predictions by identifying which driving and road condition features most influence fuel consumption.
The model effectively captures both long-term temporal patterns and detailed road conditions (elevation, speed limits, slope) from real-world vehicle data.</t>
  </si>
  <si>
    <t>Extra Trees Regressor and Random Forest Regressor achieved the highest prediction accuracy, particularly in capturing nonlinear relationships in fuel efficiency data.
Fuel type, engine displacement, and vehicle grade were identified as key factors for accurate fuel efficiency prediction.
The proposed machine learning framework successfully predicts vehicle fuel efficiency by integrating multiple vehicle attributes.
SHAP, LIME, and odds ratio analysis effectively identified and evaluated the impact of various factors on fuel efficiency predictions, supporting better decision-making.</t>
  </si>
  <si>
    <t>Models with engine parameters achieved the best performance (5.62% MAPE), demonstrating strong robustness even when other features were excluded.
Without engine features, vehicle weight became the most important predictor; its omission increased prediction error by 7.96%.
Vehicle load rate shows a clear positive effect on fuel consumption.
At high speeds (&gt;80 km/h), maintaining economical engine speed ranges effectively reduces fuel consumption; driving behaviour effects vary with loading conditions.
High engine load significantly increases fuel consumption due to friction torque.</t>
  </si>
  <si>
    <t xml:space="preserve">
The paper proposes DLLT, a dual-layer LSTM-Transformer model for predicting energy consumption and driving dynamics in PHEVs, which achieved 93% accuracy in vehicle mode prediction, R² values of 0.99 for fuel consumption, 0.86 for acceleration, and 0.81 for electric power under unseen driving conditions</t>
  </si>
  <si>
    <t xml:space="preserve">explainable boosting machine learning models demonstrated comparable performance to the black box model in predicting fuel consumption, with R2 up to 0.96 </t>
  </si>
  <si>
    <t>The introduced simple MLP model  showed strong predictive power for CO2 outperforming (LSTM, BiLSTM, Decision Tree, KNN, XGBoost, CatBoost) Ensemble models and the key predictors are Fuel Consumption features followed by Engine size and Number of cylinders</t>
  </si>
  <si>
    <t>Citation</t>
  </si>
  <si>
    <t>This paper presented a solver and preselector neural network that are jointly trained to score basis candidates and estimate partial derivatives for sparse regression.
The framework automatically selects the most parsimonious PDE using an information criterion, outperforming existing methods on noisy data.
implementation denoising physics-informed neural networks via the discrete Fourier transform to discover Partial Derivative Equations (PDE) coefficients from noise-reduced variables.
Extensive experiments on five canonical PDEs demonstrate the approach is robust, interpretable, and introduces a new automatic PDE selection algorithm based on information criterion decay rate minimization.</t>
  </si>
  <si>
    <r>
      <rPr>
        <b/>
        <u/>
        <sz val="11"/>
        <color theme="1"/>
        <rFont val="Calibri"/>
        <family val="2"/>
        <scheme val="minor"/>
      </rPr>
      <t xml:space="preserve">Methodological Gap: 
</t>
    </r>
    <r>
      <rPr>
        <sz val="11"/>
        <color theme="1"/>
        <rFont val="Calibri"/>
        <family val="2"/>
        <scheme val="minor"/>
      </rPr>
      <t xml:space="preserve">This paper provide theoritical ground for physics enforcement with ML workflows, it focused exclusively on PDE discovery rather than predictive modelling (i.e. PDEs discovery with no real-world predictive application)
</t>
    </r>
    <r>
      <rPr>
        <b/>
        <u/>
        <sz val="11"/>
        <color theme="1"/>
        <rFont val="Calibri"/>
        <family val="2"/>
        <scheme val="minor"/>
      </rPr>
      <t xml:space="preserve">
Robustness:
</t>
    </r>
    <r>
      <rPr>
        <sz val="11"/>
        <color theme="1"/>
        <rFont val="Calibri"/>
        <family val="2"/>
        <scheme val="minor"/>
      </rPr>
      <t>Despite Strong noise robustness checks, no cross-domain checks were introduced (not applied to Automotive or fuel consumption)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</si>
</sst>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ont>
    <font>
      <u/>
      <sz val="11"/>
      <color theme="10"/>
      <name val="Calibri"/>
      <family val="2"/>
      <scheme val="minor"/>
    </font>
    <font>
      <b/>
      <sz val="11"/>
      <name val="Calibri"/>
      <family val="2"/>
    </font>
    <font>
      <sz val="8"/>
      <name val="Calibri"/>
      <family val="2"/>
      <scheme val="minor"/>
    </font>
    <font>
      <b/>
      <u/>
      <sz val="11"/>
      <color theme="1"/>
      <name val="Calibri"/>
      <family val="2"/>
      <scheme val="minor"/>
    </font>
    <font>
      <sz val="11"/>
      <name val="Calibri"/>
      <family val="2"/>
      <scheme val="minor"/>
    </font>
    <font>
      <b/>
      <u/>
      <sz val="11"/>
      <name val="Calibri"/>
      <family val="2"/>
      <scheme val="minor"/>
    </font>
  </fonts>
  <fills count="8">
    <fill>
      <patternFill patternType="none"/>
    </fill>
    <fill>
      <patternFill patternType="gray125"/>
    </fill>
    <fill>
      <patternFill patternType="solid">
        <fgColor rgb="FFFFFFCC"/>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CCFFCC"/>
        <bgColor indexed="64"/>
      </patternFill>
    </fill>
    <fill>
      <patternFill patternType="solid">
        <fgColor theme="5"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2" fillId="0" borderId="0" applyNumberFormat="0" applyFill="0" applyBorder="0" applyAlignment="0" applyProtection="0"/>
  </cellStyleXfs>
  <cellXfs count="41">
    <xf numFmtId="0" fontId="0" fillId="0" borderId="0" xfId="0"/>
    <xf numFmtId="0" fontId="0" fillId="2" borderId="1" xfId="0" applyFill="1" applyBorder="1"/>
    <xf numFmtId="0" fontId="0" fillId="3" borderId="1" xfId="0" applyFill="1" applyBorder="1"/>
    <xf numFmtId="0" fontId="0" fillId="0" borderId="3" xfId="0" applyBorder="1"/>
    <xf numFmtId="0" fontId="0" fillId="4" borderId="1" xfId="0" applyFill="1" applyBorder="1"/>
    <xf numFmtId="0" fontId="0" fillId="5" borderId="1" xfId="0" applyFill="1" applyBorder="1"/>
    <xf numFmtId="0" fontId="0" fillId="6" borderId="1" xfId="0" applyFill="1" applyBorder="1"/>
    <xf numFmtId="0" fontId="0" fillId="7" borderId="1" xfId="0" applyFill="1" applyBorder="1"/>
    <xf numFmtId="0" fontId="0" fillId="4" borderId="2" xfId="0" applyFill="1" applyBorder="1"/>
    <xf numFmtId="0" fontId="0" fillId="3" borderId="1" xfId="0" applyFill="1" applyBorder="1" applyAlignment="1">
      <alignment horizontal="left" vertical="center"/>
    </xf>
    <xf numFmtId="0" fontId="0" fillId="0" borderId="0" xfId="0" applyAlignment="1">
      <alignment vertical="center"/>
    </xf>
    <xf numFmtId="0" fontId="0" fillId="6" borderId="1" xfId="0" applyFill="1" applyBorder="1" applyAlignment="1">
      <alignment vertical="center"/>
    </xf>
    <xf numFmtId="0" fontId="0" fillId="5" borderId="1" xfId="0" applyFill="1" applyBorder="1" applyAlignment="1">
      <alignment vertical="center"/>
    </xf>
    <xf numFmtId="0" fontId="0" fillId="3" borderId="1" xfId="0" applyFill="1" applyBorder="1" applyAlignment="1">
      <alignment vertical="center"/>
    </xf>
    <xf numFmtId="0" fontId="2" fillId="3" borderId="2" xfId="1" applyFill="1" applyBorder="1" applyAlignment="1">
      <alignment horizontal="left" vertical="center"/>
    </xf>
    <xf numFmtId="0" fontId="0" fillId="2" borderId="1" xfId="0" applyFill="1" applyBorder="1" applyAlignment="1">
      <alignment horizontal="left" vertical="center"/>
    </xf>
    <xf numFmtId="0" fontId="5" fillId="4" borderId="1" xfId="0" applyFont="1" applyFill="1" applyBorder="1" applyAlignment="1">
      <alignment wrapText="1"/>
    </xf>
    <xf numFmtId="0" fontId="0" fillId="7" borderId="7" xfId="0" applyFill="1" applyBorder="1"/>
    <xf numFmtId="0" fontId="0" fillId="7" borderId="6" xfId="0" applyFill="1" applyBorder="1"/>
    <xf numFmtId="0" fontId="0" fillId="0" borderId="1" xfId="0" applyBorder="1"/>
    <xf numFmtId="0" fontId="1" fillId="0" borderId="1" xfId="0" applyFont="1" applyBorder="1"/>
    <xf numFmtId="0" fontId="3" fillId="0" borderId="1" xfId="0" applyFont="1" applyBorder="1"/>
    <xf numFmtId="0" fontId="3" fillId="0" borderId="2" xfId="0" applyFont="1" applyBorder="1"/>
    <xf numFmtId="0" fontId="0" fillId="0" borderId="1" xfId="0" applyBorder="1" applyAlignment="1">
      <alignment vertical="center"/>
    </xf>
    <xf numFmtId="0" fontId="0" fillId="0" borderId="1" xfId="0" applyBorder="1" applyAlignment="1">
      <alignment horizontal="left" vertical="center"/>
    </xf>
    <xf numFmtId="0" fontId="0" fillId="0" borderId="1" xfId="0" applyBorder="1" applyAlignment="1">
      <alignment vertical="center" wrapText="1"/>
    </xf>
    <xf numFmtId="0" fontId="0" fillId="0" borderId="2" xfId="0" applyBorder="1" applyAlignment="1">
      <alignment vertical="center"/>
    </xf>
    <xf numFmtId="0" fontId="2" fillId="0" borderId="1" xfId="1" applyFill="1" applyBorder="1"/>
    <xf numFmtId="0" fontId="0" fillId="0" borderId="1" xfId="0" applyBorder="1" applyAlignment="1">
      <alignment wrapText="1"/>
    </xf>
    <xf numFmtId="0" fontId="2" fillId="0" borderId="1" xfId="1" applyFill="1" applyBorder="1" applyAlignment="1">
      <alignment horizontal="left" vertical="center"/>
    </xf>
    <xf numFmtId="0" fontId="0" fillId="0" borderId="2" xfId="0" applyBorder="1"/>
    <xf numFmtId="0" fontId="6" fillId="0" borderId="1" xfId="0" applyFont="1" applyBorder="1" applyAlignment="1">
      <alignment wrapText="1"/>
    </xf>
    <xf numFmtId="0" fontId="0" fillId="6" borderId="1" xfId="0" applyFill="1" applyBorder="1" applyAlignment="1">
      <alignment horizontal="left" vertical="center"/>
    </xf>
    <xf numFmtId="0" fontId="0" fillId="6" borderId="1" xfId="0" applyFill="1" applyBorder="1" applyAlignment="1">
      <alignment vertical="center" wrapText="1"/>
    </xf>
    <xf numFmtId="0" fontId="0" fillId="6" borderId="2" xfId="0" applyFill="1" applyBorder="1" applyAlignment="1">
      <alignment vertical="center"/>
    </xf>
    <xf numFmtId="0" fontId="0" fillId="0" borderId="3" xfId="0" applyBorder="1" applyAlignment="1">
      <alignment vertical="center"/>
    </xf>
    <xf numFmtId="0" fontId="0" fillId="0" borderId="1"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1" xfId="0" applyBorder="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colors>
    <mruColors>
      <color rgb="FFCCFFCC"/>
      <color rgb="FFDDDDDD"/>
      <color rgb="FFFFCCFF"/>
      <color rgb="FFFF99FF"/>
      <color rgb="FFCC9900"/>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3690354-A7CF-4F7B-929E-B06FEF70825A}">
  <we:reference id="wa200004179" version="2025.2.0.0" store="en-US" storeType="OMEX"/>
  <we:alternateReferences>
    <we:reference id="WA200004179" version="2025.2.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_xldudf_ARCGIS_REVERSEGEOCODE</we:customFunctionIds>
        <we:customFunctionIds>_xldudf_ARCGIS_GEOCODE</we:customFunctionIds>
        <we:customFunctionIds>_xldudf_ARCGIS_ENRICHBYPOINT</we:customFunctionIds>
        <we:customFunctionIds>_xldudf_ARCGIS_ENRICHBYGEOGRAPHY</we:customFunctionIds>
        <we:customFunctionIds>_xldudf_ARCGIS_ENRICHBYADDRESS</we:customFunctionIds>
        <we:customFunctionIds>_xldudf_ARCGIS_ENRICHBYPOLYGON</we:customFunctionIds>
        <we:customFunctionIds>_xldudf_ARCGIS_FINDROUTEBYCOORDINATES</we:customFunctionIds>
        <we:customFunctionIds>_xldudf_ARCGIS_FINDROUTEBYADDRESS</we:customFunctionIds>
        <we:customFunctionIds>_xldudf_ARCGIS_VERTICESTOESRIJSON</we:customFunctionIds>
        <we:customFunctionIds>_xldudf_ARCGIS_CONVERTTOESRIJSON</we:customFunctionIds>
        <we:customFunctionIds>_xldudf_ARCGIS_GETPOLYGONAREA</we:customFunctionIds>
        <we:customFunctionIds>_xldudf_ARCGIS_GETGEOMETRYLENGTH</we:customFunctionIds>
        <we:customFunctionIds>_xldudf_ARCGIS_GETGEOMETRYDISTANCE</we:customFunctionIds>
        <we:customFunctionIds>_xldudf_ARCGIS_GETCENTROID</we:customFunctionIds>
        <we:customFunctionIds>_xldudf_ARCGIS_RELATEGEOMETRIES</we:customFunctionIds>
        <we:customFunctionIds>_xldudf_ARCGIS_GENERALIZEGEOMETRY</we:customFunctionIds>
        <we:customFunctionIds>_xldudf_ARCGIS_SUGGESTADDRESS</we:customFunctionIds>
        <we:customFunctionIds>_xldudf_ARCGIS_GETGEOMETRY</we:customFunctionIds>
        <we:customFunctionIds>_xldudf_ARCGIS_LISTGEOGRAPHIES</we:customFunctionIds>
        <we:customFunctionIds>_xldudf_ARCGIS_LISTDATACOLLECTIONS</we:customFunctionIds>
        <we:customFunctionIds>_xldudf_ARCGIS_LISTTRAVELMODES</we:customFunctionIds>
        <we:customFunctionIds>_xldudf_ARCGIS_ADDHEADERS</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hyperlink" Target="https://doi.org/10.1016/j.engappai.2022.105222" TargetMode="External"/><Relationship Id="rId1" Type="http://schemas.openxmlformats.org/officeDocument/2006/relationships/hyperlink" Target="https://doi.org/10.1016/j.energy.2025.13748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B1:AK39"/>
  <sheetViews>
    <sheetView tabSelected="1" zoomScale="54" zoomScaleNormal="100" workbookViewId="0">
      <pane xSplit="2" ySplit="3" topLeftCell="C4" activePane="bottomRight" state="frozen"/>
      <selection pane="topRight" activeCell="C1" sqref="C1"/>
      <selection pane="bottomLeft" activeCell="A4" sqref="A4"/>
      <selection pane="bottomRight" activeCell="B5" sqref="B5"/>
    </sheetView>
  </sheetViews>
  <sheetFormatPr defaultRowHeight="14.5" x14ac:dyDescent="0.35"/>
  <cols>
    <col min="1" max="1" width="2.6328125" customWidth="1"/>
    <col min="2" max="2" width="11.36328125" style="19" bestFit="1" customWidth="1"/>
    <col min="3" max="3" width="46.36328125" style="19" customWidth="1"/>
    <col min="4" max="4" width="30" style="19" customWidth="1"/>
    <col min="5" max="5" width="27.6328125" style="19" customWidth="1"/>
    <col min="6" max="6" width="5" style="19" bestFit="1" customWidth="1"/>
    <col min="7" max="7" width="89.7265625" style="19" bestFit="1" customWidth="1"/>
    <col min="8" max="8" width="8.36328125" style="19" bestFit="1" customWidth="1"/>
    <col min="9" max="9" width="34.453125" style="19" bestFit="1" customWidth="1"/>
    <col min="10" max="10" width="22" style="19" bestFit="1" customWidth="1"/>
    <col min="11" max="11" width="9.81640625" style="19" bestFit="1" customWidth="1"/>
    <col min="12" max="12" width="11" style="19" bestFit="1" customWidth="1"/>
    <col min="13" max="13" width="21.26953125" style="19" bestFit="1" customWidth="1"/>
    <col min="14" max="14" width="50.7265625" style="19" customWidth="1"/>
    <col min="15" max="15" width="28.08984375" style="19" bestFit="1" customWidth="1"/>
    <col min="16" max="16" width="18.26953125" style="19" bestFit="1" customWidth="1"/>
    <col min="17" max="17" width="19.1796875" style="19" bestFit="1" customWidth="1"/>
    <col min="18" max="18" width="29.36328125" style="19" bestFit="1" customWidth="1"/>
    <col min="19" max="19" width="8.90625" style="19" bestFit="1" customWidth="1"/>
    <col min="20" max="20" width="34.7265625" style="19" bestFit="1" customWidth="1"/>
    <col min="21" max="21" width="25.7265625" style="19" bestFit="1" customWidth="1"/>
    <col min="22" max="22" width="22.36328125" style="19" bestFit="1" customWidth="1"/>
    <col min="23" max="23" width="19.26953125" style="19" bestFit="1" customWidth="1"/>
    <col min="24" max="24" width="18.7265625" style="23" bestFit="1" customWidth="1"/>
    <col min="25" max="25" width="25.7265625" style="19" bestFit="1" customWidth="1"/>
    <col min="26" max="26" width="29" style="19" bestFit="1" customWidth="1"/>
    <col min="27" max="27" width="20.6328125" style="19" bestFit="1" customWidth="1"/>
    <col min="28" max="28" width="16.81640625" style="19" bestFit="1" customWidth="1"/>
    <col min="29" max="29" width="28.36328125" style="19" bestFit="1" customWidth="1"/>
    <col min="30" max="30" width="18.81640625" style="19" bestFit="1" customWidth="1"/>
    <col min="31" max="31" width="18.81640625" style="19" customWidth="1"/>
    <col min="32" max="32" width="23.54296875" style="19" bestFit="1" customWidth="1"/>
    <col min="33" max="33" width="68.08984375" style="19" customWidth="1"/>
    <col min="34" max="34" width="89.90625" style="19" customWidth="1"/>
    <col min="35" max="35" width="17.36328125" style="19" customWidth="1"/>
    <col min="36" max="36" width="35.81640625" style="30" bestFit="1" customWidth="1"/>
    <col min="37" max="37" width="8.7265625" style="3"/>
  </cols>
  <sheetData>
    <row r="1" spans="2:37" x14ac:dyDescent="0.35">
      <c r="B1"/>
      <c r="C1"/>
      <c r="D1"/>
      <c r="E1"/>
      <c r="F1"/>
      <c r="G1"/>
      <c r="H1"/>
      <c r="I1"/>
      <c r="J1"/>
      <c r="K1"/>
      <c r="L1"/>
      <c r="M1"/>
      <c r="N1"/>
      <c r="O1"/>
      <c r="P1"/>
      <c r="Q1"/>
      <c r="R1"/>
      <c r="S1"/>
      <c r="T1"/>
      <c r="U1"/>
      <c r="V1"/>
      <c r="W1"/>
      <c r="X1"/>
      <c r="Y1"/>
      <c r="Z1"/>
      <c r="AA1"/>
      <c r="AB1"/>
      <c r="AC1"/>
      <c r="AD1"/>
      <c r="AE1"/>
      <c r="AF1"/>
      <c r="AG1"/>
      <c r="AH1"/>
      <c r="AI1"/>
      <c r="AJ1"/>
      <c r="AK1"/>
    </row>
    <row r="2" spans="2:37" x14ac:dyDescent="0.35">
      <c r="B2" s="36" t="s">
        <v>21</v>
      </c>
      <c r="C2" s="36"/>
      <c r="D2" s="36"/>
      <c r="E2" s="36"/>
      <c r="F2" s="36"/>
      <c r="G2" s="36"/>
      <c r="H2" s="36"/>
      <c r="I2" s="36"/>
      <c r="J2" s="36"/>
      <c r="K2" s="36" t="s">
        <v>22</v>
      </c>
      <c r="L2" s="36"/>
      <c r="M2" s="36"/>
      <c r="N2" s="36"/>
      <c r="O2" s="36"/>
      <c r="P2" s="36"/>
      <c r="Q2" s="36"/>
      <c r="R2" s="40" t="s">
        <v>23</v>
      </c>
      <c r="S2" s="40"/>
      <c r="T2" s="40"/>
      <c r="U2" s="40"/>
      <c r="V2" s="40"/>
      <c r="W2" s="40" t="s">
        <v>24</v>
      </c>
      <c r="X2" s="40"/>
      <c r="Y2" s="40"/>
      <c r="Z2" s="40"/>
      <c r="AA2" s="40"/>
      <c r="AB2" s="36" t="s">
        <v>50</v>
      </c>
      <c r="AC2" s="36"/>
      <c r="AD2" s="36"/>
      <c r="AE2" s="36"/>
      <c r="AF2" s="36"/>
      <c r="AG2" s="19" t="s">
        <v>95</v>
      </c>
      <c r="AH2" s="37" t="s">
        <v>25</v>
      </c>
      <c r="AI2" s="38"/>
      <c r="AJ2" s="39"/>
    </row>
    <row r="3" spans="2:37" x14ac:dyDescent="0.35">
      <c r="B3" s="19" t="s">
        <v>31</v>
      </c>
      <c r="C3" s="20" t="s">
        <v>90</v>
      </c>
      <c r="D3" s="20" t="s">
        <v>26</v>
      </c>
      <c r="E3" s="20" t="s">
        <v>221</v>
      </c>
      <c r="F3" s="20" t="s">
        <v>0</v>
      </c>
      <c r="G3" s="20" t="s">
        <v>1</v>
      </c>
      <c r="H3" s="20" t="s">
        <v>2</v>
      </c>
      <c r="I3" s="21" t="s">
        <v>89</v>
      </c>
      <c r="J3" s="20" t="s">
        <v>3</v>
      </c>
      <c r="K3" s="20" t="s">
        <v>4</v>
      </c>
      <c r="L3" s="20" t="s">
        <v>5</v>
      </c>
      <c r="M3" s="21" t="s">
        <v>97</v>
      </c>
      <c r="N3" s="21" t="s">
        <v>6</v>
      </c>
      <c r="O3" s="20" t="s">
        <v>7</v>
      </c>
      <c r="P3" s="20" t="s">
        <v>8</v>
      </c>
      <c r="Q3" s="20" t="s">
        <v>27</v>
      </c>
      <c r="R3" s="20" t="s">
        <v>9</v>
      </c>
      <c r="S3" s="20" t="s">
        <v>40</v>
      </c>
      <c r="T3" s="21" t="s">
        <v>102</v>
      </c>
      <c r="U3" s="20" t="s">
        <v>10</v>
      </c>
      <c r="V3" s="20" t="s">
        <v>11</v>
      </c>
      <c r="W3" s="20" t="s">
        <v>12</v>
      </c>
      <c r="X3" s="20" t="s">
        <v>13</v>
      </c>
      <c r="Y3" s="20" t="s">
        <v>14</v>
      </c>
      <c r="Z3" s="20" t="s">
        <v>15</v>
      </c>
      <c r="AA3" s="20" t="s">
        <v>16</v>
      </c>
      <c r="AB3" s="20" t="s">
        <v>17</v>
      </c>
      <c r="AC3" s="20" t="s">
        <v>18</v>
      </c>
      <c r="AD3" s="20" t="s">
        <v>19</v>
      </c>
      <c r="AE3" s="20" t="s">
        <v>56</v>
      </c>
      <c r="AF3" s="20" t="s">
        <v>20</v>
      </c>
      <c r="AG3" s="19" t="s">
        <v>95</v>
      </c>
      <c r="AH3" s="21" t="s">
        <v>58</v>
      </c>
      <c r="AI3" s="21" t="s">
        <v>59</v>
      </c>
      <c r="AJ3" s="22" t="s">
        <v>62</v>
      </c>
    </row>
    <row r="4" spans="2:37" s="10" customFormat="1" ht="290" x14ac:dyDescent="0.35">
      <c r="B4" s="23" t="s">
        <v>63</v>
      </c>
      <c r="C4" s="24" t="s">
        <v>91</v>
      </c>
      <c r="D4" s="24" t="s">
        <v>93</v>
      </c>
      <c r="E4" s="24" t="s">
        <v>94</v>
      </c>
      <c r="F4" s="24">
        <v>2025</v>
      </c>
      <c r="G4" s="24" t="s">
        <v>92</v>
      </c>
      <c r="H4" s="24">
        <v>0</v>
      </c>
      <c r="I4" s="23" t="s">
        <v>86</v>
      </c>
      <c r="J4" s="23" t="s">
        <v>96</v>
      </c>
      <c r="K4" s="23" t="s">
        <v>37</v>
      </c>
      <c r="L4" s="23" t="s">
        <v>111</v>
      </c>
      <c r="M4" s="23" t="s">
        <v>30</v>
      </c>
      <c r="N4" s="23" t="s">
        <v>98</v>
      </c>
      <c r="O4" s="23" t="s">
        <v>99</v>
      </c>
      <c r="P4" s="23" t="s">
        <v>33</v>
      </c>
      <c r="Q4" s="23" t="s">
        <v>28</v>
      </c>
      <c r="R4" s="23" t="s">
        <v>101</v>
      </c>
      <c r="S4" s="23" t="s">
        <v>32</v>
      </c>
      <c r="T4" s="23" t="s">
        <v>33</v>
      </c>
      <c r="U4" s="23" t="s">
        <v>44</v>
      </c>
      <c r="V4" s="23" t="s">
        <v>103</v>
      </c>
      <c r="W4" s="23" t="s">
        <v>104</v>
      </c>
      <c r="X4" s="23" t="s">
        <v>48</v>
      </c>
      <c r="Y4" s="23" t="s">
        <v>33</v>
      </c>
      <c r="Z4" s="23" t="s">
        <v>33</v>
      </c>
      <c r="AA4" s="23" t="s">
        <v>33</v>
      </c>
      <c r="AB4" s="23" t="s">
        <v>51</v>
      </c>
      <c r="AC4" s="23" t="s">
        <v>52</v>
      </c>
      <c r="AD4" s="23" t="s">
        <v>32</v>
      </c>
      <c r="AE4" s="23" t="s">
        <v>55</v>
      </c>
      <c r="AF4" s="23" t="s">
        <v>57</v>
      </c>
      <c r="AG4" s="25" t="s">
        <v>215</v>
      </c>
      <c r="AH4" s="25" t="s">
        <v>119</v>
      </c>
      <c r="AI4" s="25" t="s">
        <v>105</v>
      </c>
      <c r="AJ4" s="26" t="s">
        <v>61</v>
      </c>
      <c r="AK4" s="35"/>
    </row>
    <row r="5" spans="2:37" s="10" customFormat="1" ht="333.5" x14ac:dyDescent="0.35">
      <c r="B5" s="11" t="s">
        <v>64</v>
      </c>
      <c r="C5" s="24" t="s">
        <v>106</v>
      </c>
      <c r="D5" s="24" t="s">
        <v>107</v>
      </c>
      <c r="E5" s="24" t="s">
        <v>109</v>
      </c>
      <c r="F5" s="24">
        <v>2025</v>
      </c>
      <c r="G5" s="24" t="s">
        <v>108</v>
      </c>
      <c r="H5" s="24">
        <v>6</v>
      </c>
      <c r="I5" s="23" t="s">
        <v>86</v>
      </c>
      <c r="J5" s="23" t="s">
        <v>96</v>
      </c>
      <c r="K5" s="23" t="s">
        <v>38</v>
      </c>
      <c r="L5" s="23" t="s">
        <v>110</v>
      </c>
      <c r="M5" s="23" t="s">
        <v>34</v>
      </c>
      <c r="N5" s="23" t="s">
        <v>112</v>
      </c>
      <c r="O5" s="23" t="s">
        <v>35</v>
      </c>
      <c r="P5" s="23" t="s">
        <v>33</v>
      </c>
      <c r="Q5" s="23" t="s">
        <v>113</v>
      </c>
      <c r="R5" s="23" t="s">
        <v>114</v>
      </c>
      <c r="S5" s="23" t="s">
        <v>32</v>
      </c>
      <c r="T5" s="23" t="s">
        <v>115</v>
      </c>
      <c r="U5" s="23" t="s">
        <v>44</v>
      </c>
      <c r="V5" s="23" t="s">
        <v>42</v>
      </c>
      <c r="W5" s="23" t="s">
        <v>116</v>
      </c>
      <c r="X5" s="23" t="s">
        <v>48</v>
      </c>
      <c r="Y5" s="23" t="s">
        <v>33</v>
      </c>
      <c r="Z5" s="23" t="s">
        <v>33</v>
      </c>
      <c r="AA5" s="23" t="s">
        <v>33</v>
      </c>
      <c r="AB5" s="23" t="s">
        <v>117</v>
      </c>
      <c r="AC5" s="23" t="s">
        <v>118</v>
      </c>
      <c r="AD5" s="23" t="s">
        <v>33</v>
      </c>
      <c r="AE5" s="23" t="s">
        <v>55</v>
      </c>
      <c r="AF5" s="23" t="s">
        <v>57</v>
      </c>
      <c r="AG5" s="25" t="s">
        <v>216</v>
      </c>
      <c r="AH5" s="25" t="s">
        <v>132</v>
      </c>
      <c r="AI5" s="25" t="s">
        <v>105</v>
      </c>
      <c r="AJ5" s="26" t="s">
        <v>61</v>
      </c>
      <c r="AK5" s="35"/>
    </row>
    <row r="6" spans="2:37" ht="188.5" x14ac:dyDescent="0.35">
      <c r="B6" s="6" t="s">
        <v>65</v>
      </c>
      <c r="C6" s="19" t="s">
        <v>120</v>
      </c>
      <c r="D6" s="27" t="s">
        <v>122</v>
      </c>
      <c r="E6" s="19" t="s">
        <v>121</v>
      </c>
      <c r="F6" s="19">
        <v>2025</v>
      </c>
      <c r="G6" s="19" t="s">
        <v>123</v>
      </c>
      <c r="H6" s="19">
        <v>2</v>
      </c>
      <c r="I6" s="23" t="s">
        <v>86</v>
      </c>
      <c r="J6" s="23" t="s">
        <v>96</v>
      </c>
      <c r="K6" s="19" t="s">
        <v>37</v>
      </c>
      <c r="L6" s="19" t="s">
        <v>124</v>
      </c>
      <c r="M6" s="19" t="s">
        <v>30</v>
      </c>
      <c r="N6" s="19" t="s">
        <v>125</v>
      </c>
      <c r="O6" s="19" t="s">
        <v>100</v>
      </c>
      <c r="P6" s="19" t="s">
        <v>33</v>
      </c>
      <c r="Q6" s="19" t="s">
        <v>29</v>
      </c>
      <c r="R6" s="19" t="s">
        <v>126</v>
      </c>
      <c r="S6" s="23" t="s">
        <v>32</v>
      </c>
      <c r="T6" s="19" t="s">
        <v>127</v>
      </c>
      <c r="U6" s="19" t="s">
        <v>44</v>
      </c>
      <c r="V6" s="23" t="s">
        <v>41</v>
      </c>
      <c r="W6" s="19" t="s">
        <v>43</v>
      </c>
      <c r="X6" s="23" t="s">
        <v>48</v>
      </c>
      <c r="Y6" s="19" t="s">
        <v>130</v>
      </c>
      <c r="Z6" s="23" t="s">
        <v>33</v>
      </c>
      <c r="AA6" s="19" t="s">
        <v>129</v>
      </c>
      <c r="AB6" s="19" t="s">
        <v>128</v>
      </c>
      <c r="AC6" s="19" t="s">
        <v>131</v>
      </c>
      <c r="AD6" s="23" t="s">
        <v>33</v>
      </c>
      <c r="AE6" s="19" t="s">
        <v>55</v>
      </c>
      <c r="AF6" s="23" t="s">
        <v>57</v>
      </c>
      <c r="AG6" s="25" t="s">
        <v>217</v>
      </c>
      <c r="AH6" s="28" t="s">
        <v>133</v>
      </c>
      <c r="AI6" s="25" t="s">
        <v>105</v>
      </c>
      <c r="AJ6" s="26" t="s">
        <v>61</v>
      </c>
    </row>
    <row r="7" spans="2:37" s="10" customFormat="1" ht="246.5" x14ac:dyDescent="0.35">
      <c r="B7" s="23" t="s">
        <v>66</v>
      </c>
      <c r="C7" s="24" t="s">
        <v>134</v>
      </c>
      <c r="D7" s="24" t="s">
        <v>135</v>
      </c>
      <c r="E7" s="24" t="s">
        <v>136</v>
      </c>
      <c r="F7" s="24">
        <v>2025</v>
      </c>
      <c r="G7" s="24" t="s">
        <v>137</v>
      </c>
      <c r="H7" s="23">
        <v>0</v>
      </c>
      <c r="I7" s="23" t="s">
        <v>138</v>
      </c>
      <c r="J7" s="23" t="s">
        <v>96</v>
      </c>
      <c r="K7" s="23" t="s">
        <v>39</v>
      </c>
      <c r="L7" s="23" t="s">
        <v>139</v>
      </c>
      <c r="M7" s="23" t="s">
        <v>30</v>
      </c>
      <c r="N7" s="23" t="s">
        <v>140</v>
      </c>
      <c r="O7" s="23" t="s">
        <v>100</v>
      </c>
      <c r="P7" s="23" t="s">
        <v>33</v>
      </c>
      <c r="Q7" s="23" t="s">
        <v>28</v>
      </c>
      <c r="R7" s="23" t="s">
        <v>141</v>
      </c>
      <c r="S7" s="23" t="s">
        <v>32</v>
      </c>
      <c r="T7" s="23" t="s">
        <v>33</v>
      </c>
      <c r="U7" s="23" t="s">
        <v>44</v>
      </c>
      <c r="V7" s="23" t="s">
        <v>143</v>
      </c>
      <c r="W7" s="23" t="s">
        <v>44</v>
      </c>
      <c r="X7" s="23" t="s">
        <v>44</v>
      </c>
      <c r="Y7" s="23" t="s">
        <v>33</v>
      </c>
      <c r="Z7" s="23" t="s">
        <v>33</v>
      </c>
      <c r="AA7" s="23" t="s">
        <v>142</v>
      </c>
      <c r="AB7" s="23" t="s">
        <v>144</v>
      </c>
      <c r="AC7" s="23"/>
      <c r="AD7" s="23" t="s">
        <v>33</v>
      </c>
      <c r="AE7" s="23" t="s">
        <v>54</v>
      </c>
      <c r="AF7" s="23" t="s">
        <v>57</v>
      </c>
      <c r="AG7" s="25" t="s">
        <v>218</v>
      </c>
      <c r="AH7" s="25" t="s">
        <v>145</v>
      </c>
      <c r="AI7" s="25" t="s">
        <v>105</v>
      </c>
      <c r="AJ7" s="26"/>
      <c r="AK7" s="35"/>
    </row>
    <row r="8" spans="2:37" hidden="1" x14ac:dyDescent="0.35">
      <c r="B8" s="2" t="s">
        <v>67</v>
      </c>
      <c r="C8" s="2"/>
      <c r="D8" s="2"/>
      <c r="E8" s="2"/>
      <c r="F8" s="2"/>
      <c r="G8" s="2"/>
      <c r="H8" s="2"/>
      <c r="I8" s="13"/>
      <c r="J8" s="13"/>
      <c r="K8" s="6"/>
      <c r="L8" s="6"/>
      <c r="M8" s="6"/>
      <c r="N8" s="6"/>
      <c r="O8" s="6"/>
      <c r="P8" s="6"/>
      <c r="Q8" s="6"/>
      <c r="R8" s="1"/>
      <c r="S8" s="1"/>
      <c r="T8" s="1"/>
      <c r="U8" s="1"/>
      <c r="V8" s="1"/>
      <c r="W8" s="5"/>
      <c r="X8" s="12"/>
      <c r="Y8" s="5"/>
      <c r="Z8" s="5"/>
      <c r="AA8" s="5"/>
      <c r="AB8" s="7"/>
      <c r="AC8" s="7"/>
      <c r="AD8" s="7"/>
      <c r="AE8" s="7"/>
      <c r="AF8" s="7"/>
      <c r="AG8" s="18"/>
      <c r="AH8" s="4"/>
      <c r="AI8" s="4"/>
      <c r="AJ8" s="8"/>
    </row>
    <row r="9" spans="2:37" hidden="1" x14ac:dyDescent="0.35">
      <c r="B9" s="2" t="s">
        <v>68</v>
      </c>
      <c r="C9" s="2"/>
      <c r="D9" s="2"/>
      <c r="E9" s="2"/>
      <c r="F9" s="2"/>
      <c r="G9" s="2"/>
      <c r="H9" s="2"/>
      <c r="I9" s="13"/>
      <c r="J9" s="13"/>
      <c r="K9" s="6"/>
      <c r="L9" s="6"/>
      <c r="M9" s="6"/>
      <c r="N9" s="6"/>
      <c r="O9" s="6"/>
      <c r="P9" s="6"/>
      <c r="Q9" s="6"/>
      <c r="R9" s="1"/>
      <c r="S9" s="1"/>
      <c r="T9" s="1"/>
      <c r="U9" s="1"/>
      <c r="V9" s="1"/>
      <c r="W9" s="5"/>
      <c r="X9" s="12"/>
      <c r="Y9" s="5"/>
      <c r="Z9" s="5"/>
      <c r="AA9" s="5"/>
      <c r="AB9" s="7"/>
      <c r="AC9" s="7"/>
      <c r="AD9" s="7"/>
      <c r="AE9" s="7"/>
      <c r="AF9" s="7"/>
      <c r="AG9" s="7"/>
      <c r="AH9" s="4"/>
      <c r="AI9" s="4"/>
      <c r="AJ9" s="8"/>
    </row>
    <row r="10" spans="2:37" hidden="1" x14ac:dyDescent="0.35">
      <c r="B10" s="2" t="s">
        <v>69</v>
      </c>
      <c r="C10" s="2"/>
      <c r="D10" s="2"/>
      <c r="E10" s="2"/>
      <c r="F10" s="2"/>
      <c r="G10" s="2"/>
      <c r="H10" s="2"/>
      <c r="I10" s="13"/>
      <c r="J10" s="13"/>
      <c r="K10" s="6"/>
      <c r="L10" s="6"/>
      <c r="M10" s="6"/>
      <c r="N10" s="6"/>
      <c r="O10" s="6"/>
      <c r="P10" s="6"/>
      <c r="Q10" s="6"/>
      <c r="R10" s="1"/>
      <c r="S10" s="1"/>
      <c r="T10" s="1"/>
      <c r="U10" s="1"/>
      <c r="V10" s="1"/>
      <c r="W10" s="5"/>
      <c r="X10" s="12"/>
      <c r="Y10" s="5"/>
      <c r="Z10" s="5"/>
      <c r="AA10" s="5"/>
      <c r="AB10" s="7"/>
      <c r="AC10" s="7"/>
      <c r="AD10" s="7"/>
      <c r="AE10" s="7"/>
      <c r="AF10" s="7"/>
      <c r="AG10" s="7"/>
      <c r="AH10" s="4"/>
      <c r="AI10" s="4"/>
      <c r="AJ10" s="8"/>
    </row>
    <row r="11" spans="2:37" hidden="1" x14ac:dyDescent="0.35">
      <c r="B11" s="2" t="s">
        <v>70</v>
      </c>
      <c r="C11" s="2"/>
      <c r="D11" s="2"/>
      <c r="E11" s="2"/>
      <c r="F11" s="2"/>
      <c r="G11" s="2"/>
      <c r="H11" s="2"/>
      <c r="I11" s="13"/>
      <c r="J11" s="13"/>
      <c r="K11" s="6"/>
      <c r="L11" s="6"/>
      <c r="M11" s="6"/>
      <c r="N11" s="6"/>
      <c r="O11" s="6"/>
      <c r="P11" s="6"/>
      <c r="Q11" s="6"/>
      <c r="R11" s="1"/>
      <c r="S11" s="1"/>
      <c r="T11" s="1"/>
      <c r="U11" s="1"/>
      <c r="V11" s="1"/>
      <c r="W11" s="5"/>
      <c r="X11" s="12"/>
      <c r="Y11" s="5"/>
      <c r="Z11" s="5"/>
      <c r="AA11" s="5"/>
      <c r="AB11" s="7"/>
      <c r="AC11" s="7"/>
      <c r="AD11" s="7"/>
      <c r="AE11" s="7"/>
      <c r="AF11" s="7"/>
      <c r="AG11" s="7"/>
      <c r="AH11" s="4"/>
      <c r="AI11" s="4"/>
      <c r="AJ11" s="8"/>
    </row>
    <row r="12" spans="2:37" hidden="1" x14ac:dyDescent="0.35">
      <c r="B12" s="2" t="s">
        <v>71</v>
      </c>
      <c r="C12" s="2"/>
      <c r="D12" s="2"/>
      <c r="E12" s="2"/>
      <c r="F12" s="2"/>
      <c r="G12" s="2"/>
      <c r="H12" s="2"/>
      <c r="I12" s="13"/>
      <c r="J12" s="13"/>
      <c r="K12" s="6"/>
      <c r="L12" s="6"/>
      <c r="M12" s="6"/>
      <c r="N12" s="6"/>
      <c r="O12" s="6"/>
      <c r="P12" s="6"/>
      <c r="Q12" s="6"/>
      <c r="R12" s="1"/>
      <c r="S12" s="1"/>
      <c r="T12" s="1"/>
      <c r="U12" s="1"/>
      <c r="V12" s="1"/>
      <c r="W12" s="5"/>
      <c r="X12" s="12"/>
      <c r="Y12" s="5"/>
      <c r="Z12" s="5"/>
      <c r="AA12" s="5"/>
      <c r="AB12" s="7"/>
      <c r="AC12" s="7"/>
      <c r="AD12" s="7"/>
      <c r="AE12" s="7"/>
      <c r="AF12" s="7"/>
      <c r="AG12" s="7"/>
      <c r="AH12" s="4"/>
      <c r="AI12" s="4"/>
      <c r="AJ12" s="8"/>
    </row>
    <row r="13" spans="2:37" hidden="1" x14ac:dyDescent="0.35">
      <c r="B13" s="2" t="s">
        <v>72</v>
      </c>
      <c r="C13" s="2"/>
      <c r="D13" s="2"/>
      <c r="E13" s="2"/>
      <c r="F13" s="2"/>
      <c r="G13" s="2"/>
      <c r="H13" s="2"/>
      <c r="I13" s="13"/>
      <c r="J13" s="13"/>
      <c r="K13" s="6"/>
      <c r="L13" s="6"/>
      <c r="M13" s="6"/>
      <c r="N13" s="6"/>
      <c r="O13" s="6"/>
      <c r="P13" s="6"/>
      <c r="Q13" s="6"/>
      <c r="R13" s="1"/>
      <c r="S13" s="1"/>
      <c r="T13" s="1"/>
      <c r="U13" s="1"/>
      <c r="V13" s="1"/>
      <c r="W13" s="5"/>
      <c r="X13" s="12"/>
      <c r="Y13" s="5"/>
      <c r="Z13" s="5"/>
      <c r="AA13" s="5"/>
      <c r="AB13" s="7"/>
      <c r="AC13" s="7"/>
      <c r="AD13" s="7"/>
      <c r="AE13" s="7"/>
      <c r="AF13" s="7"/>
      <c r="AG13" s="7"/>
      <c r="AH13" s="4"/>
      <c r="AI13" s="4"/>
      <c r="AJ13" s="8"/>
    </row>
    <row r="14" spans="2:37" hidden="1" x14ac:dyDescent="0.35">
      <c r="B14" s="2" t="s">
        <v>73</v>
      </c>
      <c r="C14" s="2"/>
      <c r="D14" s="2"/>
      <c r="E14" s="2"/>
      <c r="F14" s="2"/>
      <c r="G14" s="2"/>
      <c r="H14" s="2"/>
      <c r="I14" s="13"/>
      <c r="J14" s="13"/>
      <c r="K14" s="6"/>
      <c r="L14" s="6"/>
      <c r="M14" s="6"/>
      <c r="N14" s="6"/>
      <c r="O14" s="6"/>
      <c r="P14" s="6"/>
      <c r="Q14" s="6"/>
      <c r="R14" s="1"/>
      <c r="S14" s="1"/>
      <c r="T14" s="1"/>
      <c r="U14" s="1"/>
      <c r="V14" s="1"/>
      <c r="W14" s="5"/>
      <c r="X14" s="12"/>
      <c r="Y14" s="5"/>
      <c r="Z14" s="5"/>
      <c r="AA14" s="5"/>
      <c r="AB14" s="7"/>
      <c r="AC14" s="7"/>
      <c r="AD14" s="7"/>
      <c r="AE14" s="7"/>
      <c r="AF14" s="7"/>
      <c r="AG14" s="17"/>
      <c r="AH14" s="4"/>
      <c r="AI14" s="4"/>
      <c r="AJ14" s="8"/>
    </row>
    <row r="15" spans="2:37" s="10" customFormat="1" ht="275.5" x14ac:dyDescent="0.35">
      <c r="B15" s="11" t="s">
        <v>74</v>
      </c>
      <c r="C15" s="32" t="s">
        <v>146</v>
      </c>
      <c r="D15" s="32" t="s">
        <v>147</v>
      </c>
      <c r="E15" s="32" t="s">
        <v>148</v>
      </c>
      <c r="F15" s="32">
        <v>2025</v>
      </c>
      <c r="G15" s="32" t="s">
        <v>108</v>
      </c>
      <c r="H15" s="32">
        <v>2</v>
      </c>
      <c r="I15" s="11" t="s">
        <v>86</v>
      </c>
      <c r="J15" s="32" t="s">
        <v>88</v>
      </c>
      <c r="K15" s="11" t="s">
        <v>38</v>
      </c>
      <c r="L15" s="11" t="s">
        <v>151</v>
      </c>
      <c r="M15" s="11"/>
      <c r="N15" s="11" t="s">
        <v>152</v>
      </c>
      <c r="O15" s="11" t="s">
        <v>36</v>
      </c>
      <c r="P15" s="11" t="s">
        <v>33</v>
      </c>
      <c r="Q15" s="11" t="s">
        <v>28</v>
      </c>
      <c r="R15" s="11" t="s">
        <v>153</v>
      </c>
      <c r="S15" s="11" t="s">
        <v>32</v>
      </c>
      <c r="T15" s="11" t="s">
        <v>33</v>
      </c>
      <c r="U15" s="11" t="s">
        <v>44</v>
      </c>
      <c r="V15" s="11" t="s">
        <v>154</v>
      </c>
      <c r="W15" s="11" t="s">
        <v>43</v>
      </c>
      <c r="X15" s="11" t="s">
        <v>48</v>
      </c>
      <c r="Y15" s="11" t="s">
        <v>33</v>
      </c>
      <c r="Z15" s="11" t="s">
        <v>33</v>
      </c>
      <c r="AA15" s="11" t="s">
        <v>33</v>
      </c>
      <c r="AB15" s="11" t="s">
        <v>155</v>
      </c>
      <c r="AC15" s="11" t="s">
        <v>33</v>
      </c>
      <c r="AD15" s="11" t="s">
        <v>33</v>
      </c>
      <c r="AE15" s="11" t="s">
        <v>54</v>
      </c>
      <c r="AF15" s="11" t="s">
        <v>57</v>
      </c>
      <c r="AG15" s="33" t="s">
        <v>220</v>
      </c>
      <c r="AH15" s="33" t="s">
        <v>157</v>
      </c>
      <c r="AI15" s="33" t="s">
        <v>105</v>
      </c>
      <c r="AJ15" s="34" t="s">
        <v>156</v>
      </c>
      <c r="AK15" s="35"/>
    </row>
    <row r="16" spans="2:37" ht="130.5" x14ac:dyDescent="0.35">
      <c r="B16" s="19" t="s">
        <v>75</v>
      </c>
      <c r="C16" s="24" t="s">
        <v>167</v>
      </c>
      <c r="D16" s="24" t="s">
        <v>168</v>
      </c>
      <c r="E16" s="24" t="s">
        <v>169</v>
      </c>
      <c r="F16" s="24">
        <v>2025</v>
      </c>
      <c r="G16" s="24" t="s">
        <v>170</v>
      </c>
      <c r="H16" s="24">
        <v>4</v>
      </c>
      <c r="I16" s="29" t="s">
        <v>85</v>
      </c>
      <c r="J16" s="24" t="s">
        <v>87</v>
      </c>
      <c r="K16" s="19" t="s">
        <v>37</v>
      </c>
      <c r="L16" s="19" t="s">
        <v>174</v>
      </c>
      <c r="M16" s="19" t="s">
        <v>30</v>
      </c>
      <c r="N16" s="28" t="s">
        <v>175</v>
      </c>
      <c r="O16" s="19" t="s">
        <v>162</v>
      </c>
      <c r="P16" s="19" t="s">
        <v>162</v>
      </c>
      <c r="Q16" s="19" t="s">
        <v>29</v>
      </c>
      <c r="R16" s="19" t="s">
        <v>176</v>
      </c>
      <c r="S16" s="23" t="s">
        <v>32</v>
      </c>
      <c r="T16" s="23" t="s">
        <v>32</v>
      </c>
      <c r="U16" s="19" t="s">
        <v>47</v>
      </c>
      <c r="V16" s="19" t="s">
        <v>177</v>
      </c>
      <c r="W16" s="19" t="s">
        <v>178</v>
      </c>
      <c r="X16" s="23" t="s">
        <v>48</v>
      </c>
      <c r="Y16" s="19" t="s">
        <v>179</v>
      </c>
      <c r="Z16" s="23" t="s">
        <v>33</v>
      </c>
      <c r="AA16" s="23" t="s">
        <v>33</v>
      </c>
      <c r="AB16" s="19" t="s">
        <v>180</v>
      </c>
      <c r="AC16" s="23" t="s">
        <v>33</v>
      </c>
      <c r="AD16" s="23" t="s">
        <v>33</v>
      </c>
      <c r="AE16" s="23" t="s">
        <v>54</v>
      </c>
      <c r="AF16" s="23" t="s">
        <v>57</v>
      </c>
      <c r="AH16" s="28" t="s">
        <v>191</v>
      </c>
      <c r="AI16" s="25" t="s">
        <v>172</v>
      </c>
      <c r="AJ16" s="30" t="s">
        <v>166</v>
      </c>
    </row>
    <row r="17" spans="2:36" ht="246.5" hidden="1" x14ac:dyDescent="0.35">
      <c r="B17" s="2" t="s">
        <v>76</v>
      </c>
      <c r="C17" s="9"/>
      <c r="D17" s="9"/>
      <c r="E17" s="9"/>
      <c r="F17" s="9"/>
      <c r="G17" s="9"/>
      <c r="H17" s="2"/>
      <c r="I17" s="13"/>
      <c r="J17" s="13"/>
      <c r="K17" s="6"/>
      <c r="L17" s="6"/>
      <c r="M17" s="6"/>
      <c r="N17" s="6"/>
      <c r="O17" s="6"/>
      <c r="P17" s="6"/>
      <c r="Q17" s="6"/>
      <c r="R17" s="1"/>
      <c r="S17" s="1"/>
      <c r="T17" s="15"/>
      <c r="U17" s="1"/>
      <c r="V17" s="1"/>
      <c r="W17" s="5"/>
      <c r="X17" s="12"/>
      <c r="Y17" s="5"/>
      <c r="Z17" s="5"/>
      <c r="AA17" s="5"/>
      <c r="AB17" s="7"/>
      <c r="AC17" s="7"/>
      <c r="AD17" s="7"/>
      <c r="AE17" s="7"/>
      <c r="AF17" s="7"/>
      <c r="AG17" s="7"/>
      <c r="AH17" s="16" t="s">
        <v>181</v>
      </c>
      <c r="AI17" s="4"/>
      <c r="AJ17" s="8"/>
    </row>
    <row r="18" spans="2:36" ht="203" x14ac:dyDescent="0.35">
      <c r="B18" s="19" t="s">
        <v>77</v>
      </c>
      <c r="C18" s="24" t="s">
        <v>182</v>
      </c>
      <c r="D18" s="24" t="s">
        <v>183</v>
      </c>
      <c r="E18" s="24" t="s">
        <v>184</v>
      </c>
      <c r="F18" s="24">
        <v>2022</v>
      </c>
      <c r="G18" s="24" t="s">
        <v>185</v>
      </c>
      <c r="H18" s="24">
        <v>25</v>
      </c>
      <c r="I18" s="23" t="s">
        <v>84</v>
      </c>
      <c r="J18" s="23" t="s">
        <v>186</v>
      </c>
      <c r="K18" s="19" t="s">
        <v>39</v>
      </c>
      <c r="L18" s="19" t="s">
        <v>162</v>
      </c>
      <c r="M18" s="19" t="s">
        <v>162</v>
      </c>
      <c r="N18" s="19" t="s">
        <v>162</v>
      </c>
      <c r="O18" s="19" t="s">
        <v>187</v>
      </c>
      <c r="P18" s="19" t="s">
        <v>33</v>
      </c>
      <c r="Q18" s="19" t="s">
        <v>29</v>
      </c>
      <c r="R18" s="19" t="s">
        <v>188</v>
      </c>
      <c r="S18" s="23" t="s">
        <v>33</v>
      </c>
      <c r="T18" s="24" t="s">
        <v>32</v>
      </c>
      <c r="U18" s="19" t="s">
        <v>46</v>
      </c>
      <c r="V18" s="23" t="s">
        <v>103</v>
      </c>
      <c r="W18" s="19" t="s">
        <v>44</v>
      </c>
      <c r="X18" s="23" t="s">
        <v>49</v>
      </c>
      <c r="Y18" s="19" t="s">
        <v>189</v>
      </c>
      <c r="Z18" s="23" t="s">
        <v>33</v>
      </c>
      <c r="AA18" s="23" t="s">
        <v>33</v>
      </c>
      <c r="AB18" s="19" t="s">
        <v>190</v>
      </c>
      <c r="AC18" s="23" t="s">
        <v>53</v>
      </c>
      <c r="AD18" s="23" t="s">
        <v>33</v>
      </c>
      <c r="AE18" s="19" t="s">
        <v>55</v>
      </c>
      <c r="AG18" s="28" t="s">
        <v>222</v>
      </c>
      <c r="AH18" s="28" t="s">
        <v>223</v>
      </c>
      <c r="AI18" s="25" t="s">
        <v>172</v>
      </c>
      <c r="AJ18" s="26" t="s">
        <v>60</v>
      </c>
    </row>
    <row r="19" spans="2:36" ht="159.5" x14ac:dyDescent="0.35">
      <c r="B19" s="19" t="s">
        <v>78</v>
      </c>
      <c r="C19" s="24" t="s">
        <v>158</v>
      </c>
      <c r="D19" s="24" t="s">
        <v>160</v>
      </c>
      <c r="E19" s="24" t="s">
        <v>161</v>
      </c>
      <c r="F19" s="24">
        <v>2021</v>
      </c>
      <c r="G19" s="24" t="s">
        <v>159</v>
      </c>
      <c r="H19" s="24">
        <v>12</v>
      </c>
      <c r="I19" s="23" t="s">
        <v>84</v>
      </c>
      <c r="J19" s="23" t="s">
        <v>87</v>
      </c>
      <c r="K19" s="19" t="s">
        <v>37</v>
      </c>
      <c r="L19" s="19" t="s">
        <v>162</v>
      </c>
      <c r="M19" s="19" t="s">
        <v>162</v>
      </c>
      <c r="N19" s="19" t="s">
        <v>162</v>
      </c>
      <c r="O19" s="19" t="s">
        <v>162</v>
      </c>
      <c r="P19" s="19" t="s">
        <v>162</v>
      </c>
      <c r="Q19" s="19" t="s">
        <v>162</v>
      </c>
      <c r="R19" s="28" t="s">
        <v>163</v>
      </c>
      <c r="S19" s="23" t="s">
        <v>33</v>
      </c>
      <c r="T19" s="24" t="s">
        <v>32</v>
      </c>
      <c r="U19" s="24" t="s">
        <v>47</v>
      </c>
      <c r="V19" s="23" t="s">
        <v>164</v>
      </c>
      <c r="W19" s="23" t="s">
        <v>165</v>
      </c>
      <c r="X19" s="23" t="s">
        <v>49</v>
      </c>
      <c r="Y19" s="23" t="s">
        <v>32</v>
      </c>
      <c r="Z19" s="23" t="s">
        <v>33</v>
      </c>
      <c r="AA19" s="23" t="s">
        <v>33</v>
      </c>
      <c r="AB19" s="23" t="s">
        <v>155</v>
      </c>
      <c r="AC19" s="23" t="s">
        <v>33</v>
      </c>
      <c r="AD19" s="23" t="s">
        <v>33</v>
      </c>
      <c r="AE19" s="23" t="s">
        <v>54</v>
      </c>
      <c r="AF19" s="23" t="s">
        <v>57</v>
      </c>
      <c r="AH19" s="25" t="s">
        <v>173</v>
      </c>
      <c r="AI19" s="25" t="s">
        <v>171</v>
      </c>
      <c r="AJ19" s="30" t="s">
        <v>166</v>
      </c>
    </row>
    <row r="20" spans="2:36" hidden="1" x14ac:dyDescent="0.35">
      <c r="B20" s="2" t="s">
        <v>79</v>
      </c>
      <c r="C20" s="9"/>
      <c r="D20" s="9"/>
      <c r="E20" s="9"/>
      <c r="F20" s="9"/>
      <c r="G20" s="9"/>
      <c r="H20" s="9"/>
      <c r="I20" s="14"/>
      <c r="J20" s="9"/>
      <c r="K20" s="6"/>
      <c r="L20" s="6"/>
      <c r="M20" s="6"/>
      <c r="N20" s="6"/>
      <c r="O20" s="6"/>
      <c r="P20" s="6"/>
      <c r="Q20" s="6"/>
      <c r="R20" s="1"/>
      <c r="S20" s="1"/>
      <c r="T20" s="1"/>
      <c r="U20" s="1"/>
      <c r="V20" s="1"/>
      <c r="W20" s="5"/>
      <c r="X20" s="12"/>
      <c r="Y20" s="5"/>
      <c r="Z20" s="5"/>
      <c r="AA20" s="5"/>
      <c r="AB20" s="7"/>
      <c r="AC20" s="7"/>
      <c r="AD20" s="7"/>
      <c r="AE20" s="7"/>
      <c r="AF20" s="7"/>
      <c r="AG20" s="7"/>
      <c r="AH20" s="4"/>
      <c r="AI20" s="4"/>
      <c r="AJ20" s="8"/>
    </row>
    <row r="21" spans="2:36" hidden="1" x14ac:dyDescent="0.35">
      <c r="B21" s="2" t="s">
        <v>80</v>
      </c>
      <c r="C21" s="2"/>
      <c r="D21" s="2"/>
      <c r="E21" s="2"/>
      <c r="F21" s="2"/>
      <c r="G21" s="2"/>
      <c r="H21" s="2"/>
      <c r="I21" s="13"/>
      <c r="J21" s="13"/>
      <c r="K21" s="6"/>
      <c r="L21" s="6"/>
      <c r="M21" s="6"/>
      <c r="N21" s="6"/>
      <c r="O21" s="6"/>
      <c r="P21" s="6"/>
      <c r="Q21" s="6"/>
      <c r="R21" s="1"/>
      <c r="S21" s="1"/>
      <c r="T21" s="1"/>
      <c r="U21" s="1"/>
      <c r="V21" s="1"/>
      <c r="W21" s="5"/>
      <c r="X21" s="12"/>
      <c r="Y21" s="5"/>
      <c r="Z21" s="5"/>
      <c r="AA21" s="5"/>
      <c r="AB21" s="7"/>
      <c r="AC21" s="7"/>
      <c r="AD21" s="7"/>
      <c r="AE21" s="7"/>
      <c r="AF21" s="7"/>
      <c r="AG21" s="7"/>
      <c r="AH21" s="4"/>
      <c r="AI21" s="4"/>
      <c r="AJ21" s="8"/>
    </row>
    <row r="22" spans="2:36" hidden="1" x14ac:dyDescent="0.35">
      <c r="B22" s="2" t="s">
        <v>81</v>
      </c>
      <c r="C22" s="2"/>
      <c r="D22" s="2"/>
      <c r="E22" s="2"/>
      <c r="F22" s="2"/>
      <c r="G22" s="2"/>
      <c r="H22" s="2"/>
      <c r="I22" s="13"/>
      <c r="J22" s="13"/>
      <c r="K22" s="6"/>
      <c r="L22" s="6"/>
      <c r="M22" s="6"/>
      <c r="N22" s="6"/>
      <c r="O22" s="6"/>
      <c r="P22" s="6"/>
      <c r="Q22" s="6"/>
      <c r="R22" s="1"/>
      <c r="S22" s="1"/>
      <c r="T22" s="1"/>
      <c r="U22" s="1"/>
      <c r="V22" s="1"/>
      <c r="W22" s="5"/>
      <c r="X22" s="12"/>
      <c r="Y22" s="5"/>
      <c r="Z22" s="5"/>
      <c r="AA22" s="5"/>
      <c r="AB22" s="7"/>
      <c r="AC22" s="7"/>
      <c r="AD22" s="7"/>
      <c r="AE22" s="7"/>
      <c r="AF22" s="7"/>
      <c r="AG22" s="7"/>
      <c r="AH22" s="4"/>
      <c r="AI22" s="4"/>
      <c r="AJ22" s="8"/>
    </row>
    <row r="23" spans="2:36" hidden="1" x14ac:dyDescent="0.35">
      <c r="B23" s="2" t="s">
        <v>82</v>
      </c>
      <c r="C23" s="2"/>
      <c r="D23" s="2"/>
      <c r="E23" s="2"/>
      <c r="F23" s="2"/>
      <c r="G23" s="2"/>
      <c r="H23" s="2"/>
      <c r="I23" s="13"/>
      <c r="J23" s="13"/>
      <c r="K23" s="6"/>
      <c r="L23" s="6"/>
      <c r="M23" s="6"/>
      <c r="N23" s="6"/>
      <c r="O23" s="6"/>
      <c r="P23" s="6"/>
      <c r="Q23" s="6"/>
      <c r="R23" s="1"/>
      <c r="S23" s="1"/>
      <c r="T23" s="1"/>
      <c r="U23" s="1"/>
      <c r="V23" s="1"/>
      <c r="W23" s="5"/>
      <c r="X23" s="12"/>
      <c r="Y23" s="5"/>
      <c r="Z23" s="5"/>
      <c r="AA23" s="5"/>
      <c r="AB23" s="7"/>
      <c r="AC23" s="7"/>
      <c r="AD23" s="7"/>
      <c r="AE23" s="7"/>
      <c r="AF23" s="7"/>
      <c r="AG23" s="7"/>
      <c r="AH23" s="4"/>
      <c r="AI23" s="4"/>
      <c r="AJ23" s="8"/>
    </row>
    <row r="24" spans="2:36" hidden="1" x14ac:dyDescent="0.35">
      <c r="B24" s="2" t="s">
        <v>83</v>
      </c>
      <c r="C24" s="2"/>
      <c r="D24" s="2"/>
      <c r="E24" s="2"/>
      <c r="F24" s="2"/>
      <c r="G24" s="2"/>
      <c r="H24" s="2"/>
      <c r="I24" s="13"/>
      <c r="J24" s="13"/>
      <c r="K24" s="6"/>
      <c r="L24" s="6"/>
      <c r="M24" s="6"/>
      <c r="N24" s="6"/>
      <c r="O24" s="6"/>
      <c r="P24" s="6"/>
      <c r="Q24" s="6"/>
      <c r="R24" s="1"/>
      <c r="S24" s="1"/>
      <c r="T24" s="1"/>
      <c r="U24" s="1"/>
      <c r="V24" s="1"/>
      <c r="W24" s="5"/>
      <c r="X24" s="12"/>
      <c r="Y24" s="5"/>
      <c r="Z24" s="5"/>
      <c r="AA24" s="5"/>
      <c r="AB24" s="7"/>
      <c r="AC24" s="7"/>
      <c r="AD24" s="7"/>
      <c r="AE24" s="7"/>
      <c r="AF24" s="7"/>
      <c r="AG24" s="7"/>
      <c r="AH24" s="4"/>
      <c r="AI24" s="4"/>
      <c r="AJ24" s="8"/>
    </row>
    <row r="25" spans="2:36" hidden="1" x14ac:dyDescent="0.35">
      <c r="B25" s="2" t="s">
        <v>149</v>
      </c>
      <c r="C25" s="2"/>
      <c r="D25" s="2"/>
      <c r="E25" s="2"/>
      <c r="F25" s="2"/>
      <c r="G25" s="2"/>
      <c r="H25" s="2"/>
      <c r="I25" s="2"/>
      <c r="J25" s="2"/>
      <c r="K25" s="6"/>
      <c r="L25" s="6"/>
      <c r="M25" s="6"/>
      <c r="N25" s="6"/>
      <c r="O25" s="6"/>
      <c r="P25" s="6"/>
      <c r="Q25" s="6"/>
      <c r="R25" s="1"/>
      <c r="S25" s="1"/>
      <c r="T25" s="1"/>
      <c r="U25" s="1"/>
      <c r="V25" s="1"/>
      <c r="W25" s="5"/>
      <c r="X25" s="12"/>
      <c r="Y25" s="5"/>
      <c r="Z25" s="5"/>
      <c r="AA25" s="5"/>
      <c r="AB25" s="7"/>
      <c r="AC25" s="7"/>
      <c r="AD25" s="7"/>
      <c r="AE25" s="7"/>
      <c r="AF25" s="7"/>
      <c r="AG25" s="7"/>
      <c r="AH25" s="4"/>
      <c r="AI25" s="4"/>
      <c r="AJ25" s="8"/>
    </row>
    <row r="26" spans="2:36" hidden="1" x14ac:dyDescent="0.35">
      <c r="B26" s="2" t="s">
        <v>150</v>
      </c>
      <c r="C26" s="2"/>
      <c r="D26" s="2"/>
      <c r="E26" s="2"/>
      <c r="F26" s="2"/>
      <c r="G26" s="2"/>
      <c r="H26" s="2"/>
      <c r="I26" s="2"/>
      <c r="J26" s="2"/>
      <c r="K26" s="6"/>
      <c r="L26" s="6"/>
      <c r="M26" s="6"/>
      <c r="N26" s="6"/>
      <c r="O26" s="6"/>
      <c r="P26" s="6"/>
      <c r="Q26" s="6"/>
      <c r="R26" s="1"/>
      <c r="S26" s="1"/>
      <c r="T26" s="1"/>
      <c r="U26" s="1"/>
      <c r="V26" s="1"/>
      <c r="W26" s="5"/>
      <c r="X26" s="12"/>
      <c r="Y26" s="5"/>
      <c r="Z26" s="5"/>
      <c r="AA26" s="5"/>
      <c r="AB26" s="7"/>
      <c r="AC26" s="7"/>
      <c r="AD26" s="7"/>
      <c r="AE26" s="7"/>
      <c r="AF26" s="7"/>
      <c r="AG26" s="17"/>
      <c r="AH26" s="4"/>
      <c r="AI26" s="4"/>
      <c r="AJ26" s="8"/>
    </row>
    <row r="27" spans="2:36" ht="130.5" x14ac:dyDescent="0.35">
      <c r="B27" s="19" t="s">
        <v>192</v>
      </c>
      <c r="C27" s="19" t="s">
        <v>205</v>
      </c>
      <c r="D27" s="27" t="s">
        <v>206</v>
      </c>
      <c r="E27" s="19" t="s">
        <v>207</v>
      </c>
      <c r="F27" s="19">
        <v>2022</v>
      </c>
      <c r="G27" s="19" t="s">
        <v>208</v>
      </c>
      <c r="I27" s="23" t="s">
        <v>86</v>
      </c>
      <c r="J27" s="23" t="s">
        <v>96</v>
      </c>
      <c r="K27" s="19" t="s">
        <v>37</v>
      </c>
      <c r="L27" s="19" t="s">
        <v>209</v>
      </c>
      <c r="M27" s="19" t="s">
        <v>30</v>
      </c>
      <c r="N27" s="19" t="s">
        <v>210</v>
      </c>
      <c r="O27" s="19" t="s">
        <v>100</v>
      </c>
      <c r="P27" s="19" t="s">
        <v>33</v>
      </c>
      <c r="Q27" s="19" t="s">
        <v>29</v>
      </c>
      <c r="R27" s="28" t="s">
        <v>211</v>
      </c>
      <c r="S27" s="23" t="s">
        <v>33</v>
      </c>
      <c r="T27" s="24" t="s">
        <v>33</v>
      </c>
      <c r="U27" s="19" t="s">
        <v>45</v>
      </c>
      <c r="V27" s="23" t="s">
        <v>42</v>
      </c>
      <c r="W27" s="19" t="s">
        <v>44</v>
      </c>
      <c r="X27" s="23" t="s">
        <v>49</v>
      </c>
      <c r="Y27" s="23" t="s">
        <v>32</v>
      </c>
      <c r="Z27" s="23" t="s">
        <v>32</v>
      </c>
      <c r="AA27" s="23" t="s">
        <v>33</v>
      </c>
      <c r="AB27" s="19" t="s">
        <v>212</v>
      </c>
      <c r="AC27" s="19" t="s">
        <v>213</v>
      </c>
      <c r="AD27" s="23" t="s">
        <v>33</v>
      </c>
      <c r="AE27" s="19" t="s">
        <v>55</v>
      </c>
      <c r="AF27" s="19" t="s">
        <v>57</v>
      </c>
      <c r="AG27" s="28" t="s">
        <v>219</v>
      </c>
      <c r="AH27" s="31" t="s">
        <v>214</v>
      </c>
      <c r="AI27" s="25" t="s">
        <v>171</v>
      </c>
      <c r="AJ27" s="30" t="s">
        <v>61</v>
      </c>
    </row>
    <row r="28" spans="2:36" hidden="1" x14ac:dyDescent="0.35">
      <c r="B28" s="2" t="s">
        <v>193</v>
      </c>
      <c r="C28" s="2"/>
      <c r="D28" s="2"/>
      <c r="E28" s="2"/>
      <c r="F28" s="2"/>
      <c r="G28" s="2"/>
      <c r="H28" s="2"/>
      <c r="I28" s="2"/>
      <c r="J28" s="2"/>
      <c r="K28" s="6"/>
      <c r="L28" s="6"/>
      <c r="M28" s="6"/>
      <c r="N28" s="6"/>
      <c r="O28" s="6"/>
      <c r="P28" s="6"/>
      <c r="Q28" s="6"/>
      <c r="R28" s="1"/>
      <c r="S28" s="1"/>
      <c r="T28" s="1"/>
      <c r="U28" s="1"/>
      <c r="V28" s="1"/>
      <c r="W28" s="5"/>
      <c r="X28" s="12"/>
      <c r="Y28" s="5"/>
      <c r="Z28" s="5"/>
      <c r="AA28" s="5"/>
      <c r="AB28" s="7"/>
      <c r="AC28" s="7"/>
      <c r="AD28" s="7"/>
      <c r="AE28" s="7"/>
      <c r="AF28" s="7"/>
      <c r="AG28" s="18"/>
      <c r="AH28" s="4"/>
      <c r="AI28" s="4"/>
      <c r="AJ28" s="8"/>
    </row>
    <row r="29" spans="2:36" hidden="1" x14ac:dyDescent="0.35">
      <c r="B29" s="2" t="s">
        <v>194</v>
      </c>
      <c r="C29" s="2"/>
      <c r="D29" s="2"/>
      <c r="E29" s="2"/>
      <c r="F29" s="2"/>
      <c r="G29" s="2"/>
      <c r="H29" s="2"/>
      <c r="I29" s="2"/>
      <c r="J29" s="2"/>
      <c r="K29" s="6"/>
      <c r="L29" s="6"/>
      <c r="M29" s="6"/>
      <c r="N29" s="6"/>
      <c r="O29" s="6"/>
      <c r="P29" s="6"/>
      <c r="Q29" s="6"/>
      <c r="R29" s="1"/>
      <c r="S29" s="1"/>
      <c r="T29" s="1"/>
      <c r="U29" s="1"/>
      <c r="V29" s="1"/>
      <c r="W29" s="5"/>
      <c r="X29" s="12"/>
      <c r="Y29" s="5"/>
      <c r="Z29" s="5"/>
      <c r="AA29" s="5"/>
      <c r="AB29" s="7"/>
      <c r="AC29" s="7"/>
      <c r="AD29" s="7"/>
      <c r="AE29" s="7"/>
      <c r="AF29" s="7"/>
      <c r="AG29" s="7"/>
      <c r="AH29" s="4"/>
      <c r="AI29" s="4"/>
      <c r="AJ29" s="8"/>
    </row>
    <row r="30" spans="2:36" hidden="1" x14ac:dyDescent="0.35">
      <c r="B30" s="2" t="s">
        <v>195</v>
      </c>
      <c r="C30" s="2"/>
      <c r="D30" s="2"/>
      <c r="E30" s="2"/>
      <c r="F30" s="2"/>
      <c r="G30" s="2"/>
      <c r="H30" s="2"/>
      <c r="I30" s="2"/>
      <c r="J30" s="2"/>
      <c r="K30" s="6"/>
      <c r="L30" s="6"/>
      <c r="M30" s="6"/>
      <c r="N30" s="6"/>
      <c r="O30" s="6"/>
      <c r="P30" s="6"/>
      <c r="Q30" s="6"/>
      <c r="R30" s="1"/>
      <c r="S30" s="1"/>
      <c r="T30" s="1"/>
      <c r="U30" s="1"/>
      <c r="V30" s="1"/>
      <c r="W30" s="5"/>
      <c r="X30" s="12"/>
      <c r="Y30" s="5"/>
      <c r="Z30" s="5"/>
      <c r="AA30" s="5"/>
      <c r="AB30" s="7"/>
      <c r="AC30" s="7"/>
      <c r="AD30" s="7"/>
      <c r="AE30" s="7"/>
      <c r="AF30" s="7"/>
      <c r="AG30" s="7"/>
      <c r="AH30" s="4"/>
      <c r="AI30" s="4"/>
      <c r="AJ30" s="8"/>
    </row>
    <row r="31" spans="2:36" hidden="1" x14ac:dyDescent="0.35">
      <c r="B31" s="2" t="s">
        <v>196</v>
      </c>
      <c r="C31" s="2"/>
      <c r="D31" s="2"/>
      <c r="E31" s="2"/>
      <c r="F31" s="2"/>
      <c r="G31" s="2"/>
      <c r="H31" s="2"/>
      <c r="I31" s="2"/>
      <c r="J31" s="2"/>
      <c r="K31" s="6"/>
      <c r="L31" s="6"/>
      <c r="M31" s="6"/>
      <c r="N31" s="6"/>
      <c r="O31" s="6"/>
      <c r="P31" s="6"/>
      <c r="Q31" s="6"/>
      <c r="R31" s="1"/>
      <c r="S31" s="1"/>
      <c r="T31" s="1"/>
      <c r="U31" s="1"/>
      <c r="V31" s="1"/>
      <c r="W31" s="5"/>
      <c r="X31" s="12"/>
      <c r="Y31" s="5"/>
      <c r="Z31" s="5"/>
      <c r="AA31" s="5"/>
      <c r="AB31" s="7"/>
      <c r="AC31" s="7"/>
      <c r="AD31" s="7"/>
      <c r="AE31" s="7"/>
      <c r="AF31" s="7"/>
      <c r="AG31" s="7"/>
      <c r="AH31" s="4"/>
      <c r="AI31" s="4"/>
      <c r="AJ31" s="8"/>
    </row>
    <row r="32" spans="2:36" hidden="1" x14ac:dyDescent="0.35">
      <c r="B32" s="2" t="s">
        <v>197</v>
      </c>
      <c r="C32" s="2"/>
      <c r="D32" s="2"/>
      <c r="E32" s="2"/>
      <c r="F32" s="2"/>
      <c r="G32" s="2"/>
      <c r="H32" s="2"/>
      <c r="I32" s="2"/>
      <c r="J32" s="2"/>
      <c r="K32" s="6"/>
      <c r="L32" s="6"/>
      <c r="M32" s="6"/>
      <c r="N32" s="6"/>
      <c r="O32" s="6"/>
      <c r="P32" s="6"/>
      <c r="Q32" s="6"/>
      <c r="R32" s="1"/>
      <c r="S32" s="1"/>
      <c r="T32" s="1"/>
      <c r="U32" s="1"/>
      <c r="V32" s="1"/>
      <c r="W32" s="5"/>
      <c r="X32" s="12"/>
      <c r="Y32" s="5"/>
      <c r="Z32" s="5"/>
      <c r="AA32" s="5"/>
      <c r="AB32" s="7"/>
      <c r="AC32" s="7"/>
      <c r="AD32" s="7"/>
      <c r="AE32" s="7"/>
      <c r="AF32" s="7"/>
      <c r="AG32" s="7"/>
      <c r="AH32" s="4"/>
      <c r="AI32" s="4"/>
      <c r="AJ32" s="8"/>
    </row>
    <row r="33" spans="2:36" hidden="1" x14ac:dyDescent="0.35">
      <c r="B33" s="2" t="s">
        <v>198</v>
      </c>
      <c r="C33" s="2"/>
      <c r="D33" s="2"/>
      <c r="E33" s="2"/>
      <c r="F33" s="2"/>
      <c r="G33" s="2"/>
      <c r="H33" s="2"/>
      <c r="I33" s="2"/>
      <c r="J33" s="2"/>
      <c r="K33" s="6"/>
      <c r="L33" s="6"/>
      <c r="M33" s="6"/>
      <c r="N33" s="6"/>
      <c r="O33" s="6"/>
      <c r="P33" s="6"/>
      <c r="Q33" s="6"/>
      <c r="R33" s="1"/>
      <c r="S33" s="1"/>
      <c r="T33" s="1"/>
      <c r="U33" s="1"/>
      <c r="V33" s="1"/>
      <c r="W33" s="5"/>
      <c r="X33" s="12"/>
      <c r="Y33" s="5"/>
      <c r="Z33" s="5"/>
      <c r="AA33" s="5"/>
      <c r="AB33" s="7"/>
      <c r="AC33" s="7"/>
      <c r="AD33" s="7"/>
      <c r="AE33" s="7"/>
      <c r="AF33" s="7"/>
      <c r="AG33" s="7"/>
      <c r="AH33" s="4"/>
      <c r="AI33" s="4"/>
      <c r="AJ33" s="8"/>
    </row>
    <row r="34" spans="2:36" hidden="1" x14ac:dyDescent="0.35">
      <c r="B34" s="2" t="s">
        <v>199</v>
      </c>
      <c r="C34" s="2"/>
      <c r="D34" s="2"/>
      <c r="E34" s="2"/>
      <c r="F34" s="2"/>
      <c r="G34" s="2"/>
      <c r="H34" s="2"/>
      <c r="I34" s="2"/>
      <c r="J34" s="2"/>
      <c r="K34" s="6"/>
      <c r="L34" s="6"/>
      <c r="M34" s="6"/>
      <c r="N34" s="6"/>
      <c r="O34" s="6"/>
      <c r="P34" s="6"/>
      <c r="Q34" s="6"/>
      <c r="R34" s="1"/>
      <c r="S34" s="1"/>
      <c r="T34" s="1"/>
      <c r="U34" s="1"/>
      <c r="V34" s="1"/>
      <c r="W34" s="5"/>
      <c r="X34" s="12"/>
      <c r="Y34" s="5"/>
      <c r="Z34" s="5"/>
      <c r="AA34" s="5"/>
      <c r="AB34" s="7"/>
      <c r="AC34" s="7"/>
      <c r="AD34" s="7"/>
      <c r="AE34" s="7"/>
      <c r="AF34" s="7"/>
      <c r="AG34" s="7"/>
      <c r="AH34" s="4"/>
      <c r="AI34" s="4"/>
      <c r="AJ34" s="8"/>
    </row>
    <row r="35" spans="2:36" hidden="1" x14ac:dyDescent="0.35">
      <c r="B35" s="2" t="s">
        <v>200</v>
      </c>
      <c r="C35" s="2"/>
      <c r="D35" s="2"/>
      <c r="E35" s="2"/>
      <c r="F35" s="2"/>
      <c r="G35" s="2"/>
      <c r="H35" s="2"/>
      <c r="I35" s="2"/>
      <c r="J35" s="2"/>
      <c r="K35" s="6"/>
      <c r="L35" s="6"/>
      <c r="M35" s="6"/>
      <c r="N35" s="6"/>
      <c r="O35" s="6"/>
      <c r="P35" s="6"/>
      <c r="Q35" s="6"/>
      <c r="R35" s="1"/>
      <c r="S35" s="1"/>
      <c r="T35" s="1"/>
      <c r="U35" s="1"/>
      <c r="V35" s="1"/>
      <c r="W35" s="5"/>
      <c r="X35" s="12"/>
      <c r="Y35" s="5"/>
      <c r="Z35" s="5"/>
      <c r="AA35" s="5"/>
      <c r="AB35" s="7"/>
      <c r="AC35" s="7"/>
      <c r="AD35" s="7"/>
      <c r="AE35" s="7"/>
      <c r="AF35" s="7"/>
      <c r="AG35" s="7"/>
      <c r="AH35" s="4"/>
      <c r="AI35" s="4"/>
      <c r="AJ35" s="8"/>
    </row>
    <row r="36" spans="2:36" hidden="1" x14ac:dyDescent="0.35">
      <c r="B36" s="2" t="s">
        <v>201</v>
      </c>
      <c r="C36" s="2"/>
      <c r="D36" s="2"/>
      <c r="E36" s="2"/>
      <c r="F36" s="2"/>
      <c r="G36" s="2"/>
      <c r="H36" s="2"/>
      <c r="I36" s="2"/>
      <c r="J36" s="2"/>
      <c r="K36" s="6"/>
      <c r="L36" s="6"/>
      <c r="M36" s="6"/>
      <c r="N36" s="6"/>
      <c r="O36" s="6"/>
      <c r="P36" s="6"/>
      <c r="Q36" s="6"/>
      <c r="R36" s="1"/>
      <c r="S36" s="1"/>
      <c r="T36" s="1"/>
      <c r="U36" s="1"/>
      <c r="V36" s="1"/>
      <c r="W36" s="5"/>
      <c r="X36" s="12"/>
      <c r="Y36" s="5"/>
      <c r="Z36" s="5"/>
      <c r="AA36" s="5"/>
      <c r="AB36" s="7"/>
      <c r="AC36" s="7"/>
      <c r="AD36" s="7"/>
      <c r="AE36" s="7"/>
      <c r="AF36" s="7"/>
      <c r="AG36" s="7"/>
      <c r="AH36" s="4"/>
      <c r="AI36" s="4"/>
      <c r="AJ36" s="8"/>
    </row>
    <row r="37" spans="2:36" hidden="1" x14ac:dyDescent="0.35">
      <c r="B37" s="2" t="s">
        <v>202</v>
      </c>
      <c r="C37" s="2"/>
      <c r="D37" s="2"/>
      <c r="E37" s="2"/>
      <c r="F37" s="2"/>
      <c r="G37" s="2"/>
      <c r="H37" s="2"/>
      <c r="I37" s="2"/>
      <c r="J37" s="2"/>
      <c r="K37" s="6"/>
      <c r="L37" s="6"/>
      <c r="M37" s="6"/>
      <c r="N37" s="6"/>
      <c r="O37" s="6"/>
      <c r="P37" s="6"/>
      <c r="Q37" s="6"/>
      <c r="R37" s="1"/>
      <c r="S37" s="1"/>
      <c r="T37" s="1"/>
      <c r="U37" s="1"/>
      <c r="V37" s="1"/>
      <c r="W37" s="5"/>
      <c r="X37" s="12"/>
      <c r="Y37" s="5"/>
      <c r="Z37" s="5"/>
      <c r="AA37" s="5"/>
      <c r="AB37" s="7"/>
      <c r="AC37" s="7"/>
      <c r="AD37" s="7"/>
      <c r="AE37" s="7"/>
      <c r="AF37" s="7"/>
      <c r="AG37" s="7"/>
      <c r="AH37" s="4"/>
      <c r="AI37" s="4"/>
      <c r="AJ37" s="8"/>
    </row>
    <row r="38" spans="2:36" hidden="1" x14ac:dyDescent="0.35">
      <c r="B38" s="2" t="s">
        <v>203</v>
      </c>
      <c r="C38" s="2"/>
      <c r="D38" s="2"/>
      <c r="E38" s="2"/>
      <c r="F38" s="2"/>
      <c r="G38" s="2"/>
      <c r="H38" s="2"/>
      <c r="I38" s="2"/>
      <c r="J38" s="2"/>
      <c r="K38" s="6"/>
      <c r="L38" s="6"/>
      <c r="M38" s="6"/>
      <c r="N38" s="6"/>
      <c r="O38" s="6"/>
      <c r="P38" s="6"/>
      <c r="Q38" s="6"/>
      <c r="R38" s="1"/>
      <c r="S38" s="1"/>
      <c r="T38" s="1"/>
      <c r="U38" s="1"/>
      <c r="V38" s="1"/>
      <c r="W38" s="5"/>
      <c r="X38" s="12"/>
      <c r="Y38" s="5"/>
      <c r="Z38" s="5"/>
      <c r="AA38" s="5"/>
      <c r="AB38" s="7"/>
      <c r="AC38" s="7"/>
      <c r="AD38" s="7"/>
      <c r="AE38" s="7"/>
      <c r="AF38" s="7"/>
      <c r="AG38" s="7"/>
      <c r="AH38" s="4"/>
      <c r="AI38" s="4"/>
      <c r="AJ38" s="8"/>
    </row>
    <row r="39" spans="2:36" hidden="1" x14ac:dyDescent="0.35">
      <c r="B39" s="2" t="s">
        <v>204</v>
      </c>
      <c r="C39" s="2"/>
      <c r="D39" s="2"/>
      <c r="E39" s="2"/>
      <c r="F39" s="2"/>
      <c r="G39" s="2"/>
      <c r="H39" s="2"/>
      <c r="I39" s="2"/>
      <c r="J39" s="2"/>
      <c r="K39" s="6"/>
      <c r="L39" s="6"/>
      <c r="M39" s="6"/>
      <c r="N39" s="6"/>
      <c r="O39" s="6"/>
      <c r="P39" s="6"/>
      <c r="Q39" s="6"/>
      <c r="R39" s="1"/>
      <c r="S39" s="1"/>
      <c r="T39" s="1"/>
      <c r="U39" s="1"/>
      <c r="V39" s="1"/>
      <c r="W39" s="5"/>
      <c r="X39" s="12"/>
      <c r="Y39" s="5"/>
      <c r="Z39" s="5"/>
      <c r="AA39" s="5"/>
      <c r="AB39" s="7"/>
      <c r="AC39" s="7"/>
      <c r="AD39" s="7"/>
      <c r="AE39" s="7"/>
      <c r="AF39" s="7"/>
      <c r="AG39" s="17"/>
      <c r="AH39" s="4"/>
      <c r="AI39" s="4"/>
      <c r="AJ39" s="8"/>
    </row>
  </sheetData>
  <autoFilter ref="B3:AJ39" xr:uid="{00000000-0001-0000-0000-000000000000}">
    <filterColumn colId="1">
      <customFilters>
        <customFilter operator="notEqual" val=" "/>
      </customFilters>
    </filterColumn>
  </autoFilter>
  <mergeCells count="6">
    <mergeCell ref="B2:J2"/>
    <mergeCell ref="AH2:AJ2"/>
    <mergeCell ref="K2:Q2"/>
    <mergeCell ref="R2:V2"/>
    <mergeCell ref="W2:AA2"/>
    <mergeCell ref="AB2:AF2"/>
  </mergeCells>
  <phoneticPr fontId="4" type="noConversion"/>
  <dataValidations count="1">
    <dataValidation type="list" allowBlank="1" showInputMessage="1" showErrorMessage="1" sqref="Y15:AA15 AD4:AD7 S5:S7 Z6:Z7 T7 Y7 Y19:AA19 P17:P18 S15:T16 Z16:AA16 S18:T19 T17 Z18:AA18 S27:T27 Y27:AA27 W4:W18 W20:W1048576 V4:V6 V18 V27 R4:T4 K4:K581 O4:P15 O17 I4:J24 I27:J27 X4:X1048576 M20:M581 M4:M17 Q4:Q18 O20:Q581 AJ4:AJ6 AJ18 AI4:AI7 AI15:AI16 AI18:AI19 AI27 Y4:AC5 AC18 AE4:AF1048576 AG8:AG14 AG28:AG39 AG17 AG20:AG26 U4:U1048576" xr:uid="{D16EEB64-C98F-43E4-BE24-D7441613B223}">
      <formula1>#REF!</formula1>
    </dataValidation>
  </dataValidations>
  <hyperlinks>
    <hyperlink ref="D6" r:id="rId1" xr:uid="{688C474E-CD06-4A57-BA24-ECB5BE0EA662}"/>
    <hyperlink ref="D27" r:id="rId2" xr:uid="{B079B908-DEA0-45C5-96A7-54F076C24CE8}"/>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Literature_Matrix_Analysed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Eslam Hussien</cp:lastModifiedBy>
  <dcterms:created xsi:type="dcterms:W3CDTF">2026-02-14T14:47:08Z</dcterms:created>
  <dcterms:modified xsi:type="dcterms:W3CDTF">2026-02-27T15:31:16Z</dcterms:modified>
</cp:coreProperties>
</file>